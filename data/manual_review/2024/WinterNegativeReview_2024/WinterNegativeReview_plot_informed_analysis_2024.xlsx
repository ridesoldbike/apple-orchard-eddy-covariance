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postma/Desktop/R/EC_data/EddyPro_proc_10spike/2024/outputs_compare_VERIFY/compare/WinterNegativeReview_2024/"/>
    </mc:Choice>
  </mc:AlternateContent>
  <xr:revisionPtr revIDLastSave="0" documentId="8_{2619F19E-EA01-F64E-A374-1D15F9E8C170}" xr6:coauthVersionLast="47" xr6:coauthVersionMax="47" xr10:uidLastSave="{00000000-0000-0000-0000-000000000000}"/>
  <bookViews>
    <workbookView xWindow="6200" yWindow="660" windowWidth="18240" windowHeight="15360" activeTab="1" xr2:uid="{00000000-000D-0000-FFFF-FFFF00000000}"/>
  </bookViews>
  <sheets>
    <sheet name="Summary" sheetId="1" r:id="rId1"/>
    <sheet name="All Candidates" sheetId="2" r:id="rId2"/>
    <sheet name="Priority Review" sheetId="3" r:id="rId3"/>
    <sheet name="Plot Change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B8" i="1"/>
  <c r="E7" i="1"/>
  <c r="B7" i="1"/>
  <c r="E6" i="1"/>
  <c r="B6" i="1"/>
</calcChain>
</file>

<file path=xl/sharedStrings.xml><?xml version="1.0" encoding="utf-8"?>
<sst xmlns="http://schemas.openxmlformats.org/spreadsheetml/2006/main" count="1326" uniqueCount="281">
  <si>
    <t>2024 Winter-Night Negative NEE: Plot-Informed Preliminary Analysis</t>
  </si>
  <si>
    <t>Preliminary decision support only. Every candidate was assessed using its numbered three-hour context plot plus NEE magnitude, episode coherence, signal strength, QC, u*, wind direction, radiation, and temperature. Your verified decision remains final.</t>
  </si>
  <si>
    <t>Recommendation</t>
  </si>
  <si>
    <t>Candidates</t>
  </si>
  <si>
    <t>Site</t>
  </si>
  <si>
    <t>remove</t>
  </si>
  <si>
    <t>LD</t>
  </si>
  <si>
    <t>keep</t>
  </si>
  <si>
    <t>MD</t>
  </si>
  <si>
    <t>verify</t>
  </si>
  <si>
    <t>Total</t>
  </si>
  <si>
    <t>Interpretation guide</t>
  </si>
  <si>
    <t>Inventory and comparison with the earlier CSV-only pass</t>
  </si>
  <si>
    <t>Keep</t>
  </si>
  <si>
    <t>Preserve plausible half-hourly negative variability when the plot does not show a decisive artifact. Low-u* values are generally retained raw so the later site-specific u* scenario can screen low-turbulence periods symmetrically.</t>
  </si>
  <si>
    <t>Isolated excursions</t>
  </si>
  <si>
    <t>Remove</t>
  </si>
  <si>
    <t>Use where magnitude, isolation, signal behavior, missing context, or unstable/extreme surrounding fluxes provide a clear artifact concern.</t>
  </si>
  <si>
    <t>Coherent negative episodes</t>
  </si>
  <si>
    <t>Verify</t>
  </si>
  <si>
    <t>Evidence conflicts. These rows are intentionally blank in the decision CSV and require inspection of the matching PDF page.</t>
  </si>
  <si>
    <t>Unstable/extreme contexts</t>
  </si>
  <si>
    <t>Priority Review</t>
  </si>
  <si>
    <t>Includes every verify row plus moderate-confidence removals. It is the fastest place to begin your verification.</t>
  </si>
  <si>
    <t>Borderline/mixed contexts</t>
  </si>
  <si>
    <t>Recommendations changed after plots</t>
  </si>
  <si>
    <t>Priority-review rows</t>
  </si>
  <si>
    <t>PDF pages assessed</t>
  </si>
  <si>
    <t>Workflow: use Plot page to inspect the corresponding PDF page; enter keep/remove in Verified decision; then transfer final decisions to the supplied CSV or edit that CSV directly.</t>
  </si>
  <si>
    <t>Plot page</t>
  </si>
  <si>
    <t>DateTime (Eastern)</t>
  </si>
  <si>
    <t>NEE_raw</t>
  </si>
  <si>
    <t>NEE_lag</t>
  </si>
  <si>
    <t>NEE_lead</t>
  </si>
  <si>
    <t>Rg</t>
  </si>
  <si>
    <t>Tair</t>
  </si>
  <si>
    <t>Ustar</t>
  </si>
  <si>
    <t>QC</t>
  </si>
  <si>
    <t>Signal</t>
  </si>
  <si>
    <t>Wind direction</t>
  </si>
  <si>
    <t>Context type</t>
  </si>
  <si>
    <t>Context minimum</t>
  </si>
  <si>
    <t>Context maximum</t>
  </si>
  <si>
    <t>Run below -5</t>
  </si>
  <si>
    <t>Plot-informed recommendation</t>
  </si>
  <si>
    <t>Confidence</t>
  </si>
  <si>
    <t>Plot-informed reason</t>
  </si>
  <si>
    <t>Proposed decision</t>
  </si>
  <si>
    <t>Verified decision</t>
  </si>
  <si>
    <t>Verified reason</t>
  </si>
  <si>
    <t>isolated excursion</t>
  </si>
  <si>
    <t>Low</t>
  </si>
  <si>
    <t>Borderline-large winter-night NEE (-10.05); immediate neighbors 1.21/3.12; plot shows an isolated excursion (context -10.05 to 3.12); signal strong (90); QC 1; conflicting evidence; inspect this PDF page before assigning keep/remove.</t>
  </si>
  <si>
    <t>High</t>
  </si>
  <si>
    <t>Modest winter-night NEE (-7.71); immediate neighbors 0.55/-0.79; plot shows an isolated excursion (context -7.71 to 1.72); signal strong (100); QC 1; preliminary keep to preserve plausible half-hourly negative variability; no decisive artifact pattern.</t>
  </si>
  <si>
    <t>coherent negative episode</t>
  </si>
  <si>
    <t>Borderline-large winter-night NEE (-11.53); immediate neighbors -0.02/-5.83; plot shows a coherent run of 2 half-hours below -5 (context -11.53 to 2.33); signal strong (100); QC 1; u*=0.160 is low; the later site-specific u* scenario should handle low-turbulence screening symmetrically; conflicting evidence; inspect this PDF page before assigning keep/remove.</t>
  </si>
  <si>
    <t>Modest winter-night NEE (-5.83); immediate neighbors -11.53/-4.29; plot shows a coherent run of 2 half-hours below -5 (context -11.53 to 2.33); signal strong (100); QC 1; u*=0.185 is low; the later site-specific u* scenario should handle low-turbulence screening symmetrically; preliminary keep of the raw value so u* filtering, rather than asymmetric manual censoring, determines its use.</t>
  </si>
  <si>
    <t>borderline/mixed context</t>
  </si>
  <si>
    <t>Modest winter-night NEE (-7.10); immediate neighbors -1.08/1.11; plot context is mixed but bounded (-7.10 to 2.24); signal strong (97); QC 1; u*=0.102 is low; the later site-specific u* scenario should handle low-turbulence screening symmetrically; preliminary keep of the raw value so u* filtering, rather than asymmetric manual censoring, determines its use.</t>
  </si>
  <si>
    <t>unstable/extreme context</t>
  </si>
  <si>
    <t>Large winter-night NEE (-16.94); immediate neighbors 0.90/14.81; plot context is unstable/extreme (-49.90 to 17.01); signal acceptable (89); QC 2; preliminary removal because magnitude and/or context provides clear artifact concern.</t>
  </si>
  <si>
    <t>Modest winter-night NEE (-6.60); immediate neighbors 1.63/1.59; plot shows an isolated excursion (context -6.60 to 11.80); signal strong (100); QC 1; preliminary keep to preserve plausible half-hourly negative variability; no decisive artifact pattern.</t>
  </si>
  <si>
    <t>Moderately large winter-night NEE (-14.90); immediate neighbors 1.34/1.66; plot context is unstable/extreme (-14.90 to 56.85); signal strong (98); QC 1; preliminary removal because magnitude and/or context provides clear artifact concern.</t>
  </si>
  <si>
    <t>Moderate</t>
  </si>
  <si>
    <t>Large winter-night NEE (-18.13); immediate neighbors 1.53/-39.22; plot shows a coherent run of 5 half-hours below -5 (context -39.23 to 3.78); signal strong (94); QC 0; preliminary removal because magnitude and/or context provides clear artifact concern.</t>
  </si>
  <si>
    <t>Modest winter-night NEE (-9.39); immediate neighbors -39.22/-22.19; plot shows a coherent run of 5 half-hours below -5 (context -39.23 to 7.69); signal acceptable (60); QC 2; preliminary keep to preserve plausible half-hourly negative variability; no decisive artifact pattern.</t>
  </si>
  <si>
    <t>Very large winter-night NEE (-22.19); immediate neighbors -9.39/-7.29; plot shows a coherent run of 5 half-hours below -5 (context -39.23 to 7.69); signal strong (93); QC 2; preliminary removal because magnitude and/or context provides clear artifact concern.</t>
  </si>
  <si>
    <t>Modest winter-night NEE (-7.29); immediate neighbors -22.19/1.95; plot shows a coherent run of 5 half-hours below -5 (context -39.23 to 7.69); signal strong (100); QC 0; preliminary keep to preserve plausible half-hourly negative variability; no decisive artifact pattern.</t>
  </si>
  <si>
    <t>Modest winter-night NEE (-7.81); immediate neighbors -3.84/-0.61; plot shows an isolated excursion (context -7.81 to 1.07); signal strong (100); QC 1; preliminary keep to preserve plausible half-hourly negative variability; no decisive artifact pattern.</t>
  </si>
  <si>
    <t>Modest winter-night NEE (-6.35); immediate neighbors 8.30/-12.63; plot context is unstable/extreme (-12.63 to 18.16); signal moderate (52); QC 2; conflicting evidence; inspect this PDF page before assigning keep/remove.</t>
  </si>
  <si>
    <t>Modest winter-night NEE (-8.13); immediate neighbors 2.58/4.79; plot shows an isolated excursion (context -8.13 to 4.79); signal acceptable (84); QC 2; preliminary keep to preserve plausible half-hourly negative variability; no decisive artifact pattern.</t>
  </si>
  <si>
    <t>Very large winter-night NEE (-23.39); immediate neighbors 85.66/-14.05; plot context is unstable/extreme (-23.39 to 85.73); signal acceptable (62); QC 1; preliminary removal because magnitude and/or context provides clear artifact concern.</t>
  </si>
  <si>
    <t>Moderately large winter-night NEE (-14.05); immediate neighbors -23.39/3.67; plot context is unstable/extreme (-23.40 to 85.72); signal acceptable (64); QC 1; preliminary removal because magnitude and/or context provides clear artifact concern.</t>
  </si>
  <si>
    <t>Moderately large winter-night NEE (-14.73); immediate neighbors 36.38/28.28; plot shows an isolated excursion (context -25.35 to 36.38); signal acceptable (65); QC 0; preliminary removal because magnitude and/or context provides clear artifact concern.</t>
  </si>
  <si>
    <t>Modest winter-night NEE (-9.84); immediate neighbors 17.06/2.16; plot shows an isolated excursion (context -9.84 to 17.06); signal low (47); QC 0; preliminary keep to preserve plausible half-hourly negative variability; no decisive artifact pattern.</t>
  </si>
  <si>
    <t>Very large winter-night NEE (-21.42); immediate neighbors 62.31/106.11; plot context is unstable/extreme (-195.89 to 117.47); signal strong (93); QC 1; preliminary removal because magnitude and/or context provides clear artifact concern.</t>
  </si>
  <si>
    <t>Modest winter-night NEE (-5.70); immediate neighbors 58.48/3.30; plot context is unstable/extreme (-196.74 to 106.26); signal acceptable (87); QC 0; conflicting evidence; inspect this PDF page before assigning keep/remove.</t>
  </si>
  <si>
    <t>Borderline-large winter-night NEE (-11.42); immediate neighbors -188.15/40.79; plot context is unstable/extreme (-188.16 to 113.60); signal strong (93); QC 1; preliminary removal because magnitude and/or context provides clear artifact concern.</t>
  </si>
  <si>
    <t>Moderately large winter-night NEE (-12.67); immediate neighbors -129.06/113.59; plot context is unstable/extreme (-188.15 to 113.61); signal strong (93); QC 2; preliminary removal because magnitude and/or context provides clear artifact concern.</t>
  </si>
  <si>
    <t>Moderately large winter-night NEE (-14.99); immediate neighbors 5.84/46.48; plot context is unstable/extreme (-129.13 to 113.67); signal strong (90); QC 2; preliminary removal because magnitude and/or context provides clear artifact concern.</t>
  </si>
  <si>
    <t>Borderline-large winter-night NEE (-11.18); previous value -0.81; next unavailable; plot context is unstable/extreme (-69.50 to 152.70); signal strong (92); QC 1; preliminary removal because magnitude and/or context provides clear artifact concern.</t>
  </si>
  <si>
    <t>Large winter-night NEE (-18.31); immediate neighbors -69.45/65.24; plot context is unstable/extreme (-69.50 to 152.71); signal low (39); QC 2; preliminary removal because magnitude and/or context provides clear artifact concern.</t>
  </si>
  <si>
    <t>Large winter-night NEE (-17.07); previous value 2.84; next unavailable; plot context is unstable/extreme (-72.75 to 112.42); signal acceptable (89); QC 1; preliminary removal because magnitude and/or context provides clear artifact concern.</t>
  </si>
  <si>
    <t>Large winter-night NEE (-15.29); immediate neighbors 2.12/23.47; plot shows an isolated excursion (context -15.29 to 23.46); signal low (38); QC 2; u*=0.130 is low; the later site-specific u* scenario should handle low-turbulence screening symmetrically; preliminary removal because magnitude and/or context provides clear artifact concern.</t>
  </si>
  <si>
    <t>Moderately large winter-night NEE (-13.43); immediate neighbors -45.52/18.32; plot context is unstable/extreme (-60.55 to 22.12); signal low (45); QC 2; preliminary removal because magnitude and/or context provides clear artifact concern.</t>
  </si>
  <si>
    <t>Very large winter-night NEE (-28.89); immediate neighbors 2.97/-1.65; plot context is unstable/extreme (-28.89 to 18.27); signal acceptable (67); QC 2; preliminary removal because magnitude and/or context provides clear artifact concern.</t>
  </si>
  <si>
    <t>Large winter-night NEE (-16.11); immediate neighbors -80.17/2.45; plot context is unstable/extreme (-80.16 to 18.27); signal acceptable (70); QC 2; preliminary removal because magnitude and/or context provides clear artifact concern.</t>
  </si>
  <si>
    <t>Modest winter-night NEE (-8.76); immediate neighbors -66.30/-90.50; plot context is unstable/extreme (-90.43 to 32.19); signal strong (93); QC 2; conflicting evidence; inspect this PDF page before assigning keep/remove.</t>
  </si>
  <si>
    <t>Modest winter-night NEE (-7.41); previous unavailable; next value -61.22; plot context is unstable/extreme (-90.37 to 126.57); signal low (48); QC 1; conflicting evidence; inspect this PDF page before assigning keep/remove.</t>
  </si>
  <si>
    <t>Large winter-night NEE (-15.89); previous unavailable; next value 26.36; plot context is unstable/extreme (-571.08 to 127.25); signal low (38); QC 2; preliminary removal because magnitude and/or context provides clear artifact concern.</t>
  </si>
  <si>
    <t>Modest winter-night NEE (-7.19); immediate neighbors -569.24/-29.39; plot context is unstable/extreme (-568.20 to 123.57); signal low (48); QC 0; conflicting evidence; inspect this PDF page before assigning keep/remove.</t>
  </si>
  <si>
    <t>Very large winter-night NEE (-29.39); immediate neighbors -7.19/-363.29; plot context is unstable/extreme (-568.26 to 123.51); signal low (46); QC 1; preliminary removal because magnitude and/or context provides clear artifact concern.</t>
  </si>
  <si>
    <t>Modest winter-night NEE (-8.71); immediate neighbors 107.23/28.23; plot context is unstable/extreme (-566.14 to 106.61); signal low (40); QC 1; conflicting evidence; inspect this PDF page before assigning keep/remove.</t>
  </si>
  <si>
    <t>Large winter-night NEE (-19.43); immediate neighbors 1.02/29.40; plot shows an isolated excursion (context -19.43 to 43.89); signal low (43); QC 2; u*=0.188 is low; the later site-specific u* scenario should handle low-turbulence screening symmetrically; preliminary removal because magnitude and/or context provides clear artifact concern.</t>
  </si>
  <si>
    <t>Large winter-night NEE (-16.72); immediate neighbors 32.09/-0.51; plot context is unstable/extreme (-345.23 to 55.46); signal strong (93); QC 0; preliminary removal because magnitude and/or context provides clear artifact concern.</t>
  </si>
  <si>
    <t>Moderately large winter-night NEE (-13.02); immediate neighbors -0.51/2.10; plot context is unstable/extreme (-81.76 to 32.10); signal acceptable (83); QC 1; preliminary removal because magnitude and/or context provides clear artifact concern.</t>
  </si>
  <si>
    <t>Modest winter-night NEE (-6.19); immediate neighbors 1.71/-6.38; plot shows a coherent run of 2 half-hours below -5 (context -24.00 to 13.74); signal strong (99); QC 2; preliminary keep to preserve plausible half-hourly negative variability; no decisive artifact pattern.</t>
  </si>
  <si>
    <t>Modest winter-night NEE (-6.38); immediate neighbors -6.19/5.95; plot shows a coherent run of 2 half-hours below -5 (context -24.00 to 13.74); signal acceptable (89); QC 1; preliminary keep to preserve plausible half-hourly negative variability; no decisive artifact pattern.</t>
  </si>
  <si>
    <t>Very large winter-night NEE (-23.99); immediate neighbors 1.52/-3.66; plot shows an isolated excursion (context -23.99 to 13.74); signal very low (22); QC 1; preliminary removal because magnitude and/or context provides clear artifact concern.</t>
  </si>
  <si>
    <t>Moderately large winter-night NEE (-12.27); immediate neighbors 4.54/-1.45; plot context is unstable/extreme (-48.22 to 25.33); signal acceptable (79); QC 2; preliminary removal because magnitude and/or context provides clear artifact concern.</t>
  </si>
  <si>
    <t>Modest winter-night NEE (-8.61); immediate neighbors -0.17/-3.41; plot shows an isolated excursion (context -8.61 to 3.67); signal strong (91); QC 1; u*=0.112 is low; the later site-specific u* scenario should handle low-turbulence screening symmetrically; preliminary keep of the raw value so u* filtering, rather than asymmetric manual censoring, determines its use.</t>
  </si>
  <si>
    <t>Moderately large winter-night NEE (-12.34); immediate neighbors -53.29/49.13; plot context is unstable/extreme (-98.26 to 55.46); signal low (33); QC 2; preliminary removal because magnitude and/or context provides clear artifact concern.</t>
  </si>
  <si>
    <t>Very large winter-night NEE (-24.89); immediate neighbors -3.29/6.90; plot shows an isolated excursion (context -24.89 to 31.52); signal strong (90); QC 2; preliminary removal because magnitude and/or context provides clear artifact concern.</t>
  </si>
  <si>
    <t>Very large winter-night NEE (-21.26); immediate neighbors -4.20/3.98; plot shows an isolated excursion (context -24.89 to 31.52); signal acceptable (84); QC 2; preliminary removal because magnitude and/or context provides clear artifact concern.</t>
  </si>
  <si>
    <t>Moderately large winter-night NEE (-14.18); immediate neighbors 3.65/4.95; plot shows an isolated excursion (context -21.26 to 15.22); signal moderate (58); QC 2; preliminary removal because magnitude and/or context provides clear artifact concern.</t>
  </si>
  <si>
    <t>Borderline-large winter-night NEE (-10.44); immediate neighbors 15.23/-0.39; plot shows an isolated excursion (context -14.18 to 21.99); signal moderate (54); QC 2; conflicting evidence; inspect this PDF page before assigning keep/remove.</t>
  </si>
  <si>
    <t>Modest winter-night NEE (-7.65); immediate neighbors -35.88/115.18; plot context is unstable/extreme (-35.90 to 115.29); signal low (48); QC 2; conflicting evidence; inspect this PDF page before assigning keep/remove.</t>
  </si>
  <si>
    <t>Modest winter-night NEE (-7.43); immediate neighbors 14.38/2.61; plot shows an isolated excursion (context -14.22 to 29.98); signal low (41); QC 1; preliminary keep to preserve plausible half-hourly negative variability; no decisive artifact pattern.</t>
  </si>
  <si>
    <t>Moderately large winter-night NEE (-14.22); immediate neighbors 2.61/14.92; plot shows an isolated excursion (context -14.22 to 29.98); signal low (36); QC 1; preliminary removal because magnitude and/or context provides clear artifact concern.</t>
  </si>
  <si>
    <t>Modest winter-night NEE (-7.56); immediate neighbors 0.81/-0.69; plot shows an isolated excursion (context -7.56 to 1.97); signal strong (98); QC 1; preliminary keep to preserve plausible half-hourly negative variability; no decisive artifact pattern.</t>
  </si>
  <si>
    <t>Modest winter-night NEE (-7.89); immediate neighbors 6.11/-0.05; plot shows an isolated excursion (context -7.89 to 6.11); signal acceptable (81); QC 2; preliminary keep to preserve plausible half-hourly negative variability; no decisive artifact pattern.</t>
  </si>
  <si>
    <t>Modest winter-night NEE (-8.09); immediate neighbors 1.51/-31.38; plot shows a coherent run of 2 half-hours below -5 (context -31.37 to 20.56); signal very low (13); QC 2; conflicting evidence; inspect this PDF page before assigning keep/remove.</t>
  </si>
  <si>
    <t>Borderline-large winter-night NEE (-10.27); immediate neighbors 17.82/-1.24; plot shows an isolated excursion (context -31.37 to 17.81); signal low (44); QC 2; conflicting evidence; inspect this PDF page before assigning keep/remove.</t>
  </si>
  <si>
    <t>Borderline-large winter-night NEE (-11.49); immediate neighbors -0.67/49.60; plot context is unstable/extreme (-64.23 to 49.63); signal moderate (59); QC 2; preliminary removal because magnitude and/or context provides clear artifact concern.</t>
  </si>
  <si>
    <t>Modest winter-night NEE (-8.86); immediate neighbors 49.60/-13.67; plot context is unstable/extreme (-64.23 to 49.63); signal very low (17); QC 0; conflicting evidence; inspect this PDF page before assigning keep/remove.</t>
  </si>
  <si>
    <t>Moderately large winter-night NEE (-13.67); immediate neighbors -8.86/-64.21; plot context is unstable/extreme (-64.23 to 49.63); signal very low (16); QC 2; preliminary removal because magnitude and/or context provides clear artifact concern.</t>
  </si>
  <si>
    <t>Borderline-large winter-night NEE (-11.02); immediate neighbors -4.38/-6.48; plot context is unstable/extreme (-64.23 to 49.63); signal moderate (57); QC 2; preliminary removal because magnitude and/or context provides clear artifact concern.</t>
  </si>
  <si>
    <t>Modest winter-night NEE (-6.48); immediate neighbors -11.02/-17.86; plot context is unstable/extreme (-64.24 to 49.63); signal acceptable (61); QC 2; conflicting evidence; inspect this PDF page before assigning keep/remove.</t>
  </si>
  <si>
    <t>Large winter-night NEE (-17.86); immediate neighbors -6.48/1.14; plot context is unstable/extreme (-64.21 to 63.54); signal moderate (59); QC 2; preliminary removal because magnitude and/or context provides clear artifact concern.</t>
  </si>
  <si>
    <t>Modest winter-night NEE (-6.72); immediate neighbors -15.40/-39.45; plot shows a coherent run of 3 half-hours below -5 (context -39.45 to 4.09); signal strong (98); QC 2; u*=0.146 is low; the later site-specific u* scenario should handle low-turbulence screening symmetrically; preliminary keep of the raw value so u* filtering, rather than asymmetric manual censoring, determines its use.</t>
  </si>
  <si>
    <t>Borderline-large winter-night NEE (-11.50); immediate neighbors 1.13/-1.84; plot shows an isolated excursion (context -11.50 to 4.10); signal strong (95); QC 1; u*=0.102 is low; the later site-specific u* scenario should handle low-turbulence screening symmetrically; conflicting evidence; inspect this PDF page before assigning keep/remove.</t>
  </si>
  <si>
    <t>Very large winter-night NEE (-24.77); immediate neighbors 44.35/-9.18; plot context is unstable/extreme (-59.38 to 44.33); signal low (32); QC 0; preliminary removal because magnitude and/or context provides clear artifact concern.</t>
  </si>
  <si>
    <t>Modest winter-night NEE (-9.18); immediate neighbors -24.77/-4.77; plot shows a coherent run of 2 half-hours below -5 (context -24.77 to 44.34); signal very low (29); QC 2; conflicting evidence; inspect this PDF page before assigning keep/remove.</t>
  </si>
  <si>
    <t>Large winter-night NEE (-16.38); immediate neighbors -4.77/1.27; plot shows an isolated excursion (context -24.77 to 44.34); signal very low (26); QC 0; preliminary removal because magnitude and/or context provides clear artifact concern.</t>
  </si>
  <si>
    <t>Modest winter-night NEE (-8.76); previous value 5.13; next unavailable; plot shows an isolated excursion (context -20.04 to 16.08); signal acceptable (63); QC 2; u*=0.124 is low; the later site-specific u* scenario should handle low-turbulence screening symmetrically; preliminary keep of the raw value so u* filtering, rather than asymmetric manual censoring, determines its use.</t>
  </si>
  <si>
    <t>Modest winter-night NEE (-7.55); immediate neighbors 1.20/-1.47; plot shows an isolated excursion (context -7.55 to 5.21); signal strong (93); QC 2; preliminary keep to preserve plausible half-hourly negative variability; no decisive artifact pattern.</t>
  </si>
  <si>
    <t>Modest winter-night NEE (-8.72); immediate neighbors 1.36/4.34; plot shows an isolated excursion (context -8.72 to 4.34); signal strong (100); QC 1; preliminary keep to preserve plausible half-hourly negative variability; no decisive artifact pattern.</t>
  </si>
  <si>
    <t>Modest winter-night NEE (-7.10); immediate neighbors 1.17/-10.36; plot context is unstable/extreme (-70.41 to 57.78); signal acceptable (60); QC 2; conflicting evidence; inspect this PDF page before assigning keep/remove.</t>
  </si>
  <si>
    <t>Borderline-large winter-night NEE (-10.36); immediate neighbors -7.10/9.67; plot context is unstable/extreme (-70.41 to 57.79); signal moderate (56); QC 0; preliminary removal because magnitude and/or context provides clear artifact concern.</t>
  </si>
  <si>
    <t>Very large winter-night NEE (-25.99); immediate neighbors 9.73/-24.65; plot context is unstable/extreme (-70.39 to 57.80); signal moderate (56); QC 0; preliminary removal because magnitude and/or context provides clear artifact concern.</t>
  </si>
  <si>
    <t>Very large winter-night NEE (-24.65); immediate neighbors -25.99/-41.64; plot context is unstable/extreme (-70.39 to 57.80); signal moderate (55); QC 2; preliminary removal because magnitude and/or context provides clear artifact concern.</t>
  </si>
  <si>
    <t>Very large winter-night NEE (-22.33); immediate neighbors -41.64/57.50; plot context is unstable/extreme (-70.35 to 58.07); signal low (46); QC 1; preliminary removal because magnitude and/or context provides clear artifact concern.</t>
  </si>
  <si>
    <t>Very large winter-night NEE (-28.67); immediate neighbors 5.31/8.00; plot context is unstable/extreme (-41.63 to 58.00); signal low (46); QC 1; preliminary removal because magnitude and/or context provides clear artifact concern.</t>
  </si>
  <si>
    <t>Modest winter-night NEE (-5.48); immediate neighbors 2.44/-3.92; plot context is mixed but bounded (-5.48 to 2.44); signal moderate (50); QC 2; u*=0.188 is low; the later site-specific u* scenario should handle low-turbulence screening symmetrically; preliminary keep of the raw value so u* filtering, rather than asymmetric manual censoring, determines its use.</t>
  </si>
  <si>
    <t>Modest winter-night NEE (-8.75); immediate neighbors 3.32/3.14; plot shows an isolated excursion (context -8.81 to 19.34); signal moderate (57); QC 2; preliminary keep to preserve plausible half-hourly negative variability; no decisive artifact pattern.</t>
  </si>
  <si>
    <t>Modest winter-night NEE (-8.81); immediate neighbors 3.39/-2.18; plot shows an isolated excursion (context -8.81 to 19.34); signal acceptable (63); QC 2; preliminary keep to preserve plausible half-hourly negative variability; no decisive artifact pattern.</t>
  </si>
  <si>
    <t>Modest winter-night NEE (-6.12); immediate neighbors 67.04/-114.33; plot context is unstable/extreme (-114.14 to 66.91); signal very low (15); QC 0; conflicting evidence; inspect this PDF page before assigning keep/remove.</t>
  </si>
  <si>
    <t>Moderately large winter-night NEE (-12.31); immediate neighbors -114.33/-4.21; plot context is unstable/extreme (-114.15 to 66.90); signal low (41); QC 1; preliminary removal because magnitude and/or context provides clear artifact concern.</t>
  </si>
  <si>
    <t>Very large winter-night NEE (-26.28); immediate neighbors 27.15/14.67; plot context is unstable/extreme (-114.17 to 66.88); signal very low (3); QC 0; u*=0.159 is low; the later site-specific u* scenario should handle low-turbulence screening symmetrically; preliminary removal because magnitude and/or context provides clear artifact concern.</t>
  </si>
  <si>
    <t>Large winter-night NEE (-15.03); immediate neighbors 14.67/-29.11; plot context is unstable/extreme (-114.28 to 31.21); signal low (30); QC 1; u*=0.134 is low; the later site-specific u* scenario should handle low-turbulence screening symmetrically; preliminary removal because magnitude and/or context provides clear artifact concern.</t>
  </si>
  <si>
    <t>Very large winter-night NEE (-29.11); immediate neighbors -15.03/31.23; plot shows a coherent run of 2 half-hours below -5 (context -29.11 to 31.24); signal very low (13); QC 0; preliminary removal because magnitude and/or context provides clear artifact concern.</t>
  </si>
  <si>
    <t>Modest winter-night NEE (-6.42); immediate neighbors -35.55/1.93; plot context is unstable/extreme (-173.05 to 26.75); signal strong (100); QC 2; conflicting evidence; inspect this PDF page before assigning keep/remove.</t>
  </si>
  <si>
    <t>Modest winter-night NEE (-6.86); immediate neighbors -32.64/0.99; plot shows a coherent run of 2 half-hours below -5 (context -35.17 to 32.17); signal acceptable (72); QC 1; preliminary keep to preserve plausible half-hourly negative variability; no decisive artifact pattern.</t>
  </si>
  <si>
    <t>Moderately large winter-night NEE (-12.20); immediate neighbors 32.15/-35.16; plot context is unstable/extreme (-62.22 to 66.43); signal very low (25); QC 2; preliminary removal because magnitude and/or context provides clear artifact concern.</t>
  </si>
  <si>
    <t>Very large winter-night NEE (-20.64); immediate neighbors -35.16/-16.91; plot context is unstable/extreme (-62.23 to 66.42); signal very low (24); QC 1; preliminary removal because magnitude and/or context provides clear artifact concern.</t>
  </si>
  <si>
    <t>Large winter-night NEE (-16.91); immediate neighbors -20.64/66.50; plot context is unstable/extreme (-62.22 to 66.42); signal low (30); QC 2; preliminary removal because magnitude and/or context provides clear artifact concern.</t>
  </si>
  <si>
    <t>Modest winter-night NEE (-5.94); immediate neighbors 66.50/-62.27; plot context is unstable/extreme (-62.21 to 66.43); signal low (49); QC 2; conflicting evidence; inspect this PDF page before assigning keep/remove.</t>
  </si>
  <si>
    <t>Modest winter-night NEE (-9.18); immediate neighbors -2.84/0.05; plot context is unstable/extreme (-9.18 to 64.00); signal strong (96); QC 2; preliminary keep to preserve plausible half-hourly negative variability; no decisive artifact pattern.</t>
  </si>
  <si>
    <t>Very large winter-night NEE (-23.09); immediate neighbors 63.36/-30.08; plot context is unstable/extreme (-30.08 to 63.45); signal low (35); QC 0; preliminary removal because magnitude and/or context provides clear artifact concern.</t>
  </si>
  <si>
    <t>Large winter-night NEE (-15.22); immediate neighbors -30.08/-12.06; plot context is unstable/extreme (-30.09 to 63.44); signal low (38); QC 2; preliminary removal because magnitude and/or context provides clear artifact concern.</t>
  </si>
  <si>
    <t>Moderately large winter-night NEE (-12.06); immediate neighbors -15.22/-13.47; plot context is unstable/extreme (-30.09 to 63.44); signal low (37); QC 1; preliminary removal because magnitude and/or context provides clear artifact concern.</t>
  </si>
  <si>
    <t>Moderately large winter-night NEE (-13.47); immediate neighbors -12.06/19.49; plot context is unstable/extreme (-30.09 to 63.44); signal low (37); QC 0; preliminary removal because magnitude and/or context provides clear artifact concern.</t>
  </si>
  <si>
    <t>Moderately large winter-night NEE (-14.01); immediate neighbors 21.84/-11.96; plot shows a coherent run of 2 half-hours below -5 (context -15.16 to 21.83); signal low (46); QC 2; preliminary removal because magnitude and/or context provides clear artifact concern.</t>
  </si>
  <si>
    <t>Borderline-large winter-night NEE (-11.96); immediate neighbors -14.01/4.19; plot shows a coherent run of 2 half-hours below -5 (context -15.16 to 21.83); signal low (40); QC 1; conflicting evidence; inspect this PDF page before assigning keep/remove.</t>
  </si>
  <si>
    <t>Large winter-night NEE (-15.16); immediate neighbors 4.19/2.86; plot context is unstable/extreme (-45.74 to 21.85); signal low (46); QC 2; preliminary removal because magnitude and/or context provides clear artifact concern.</t>
  </si>
  <si>
    <t>Modest winter-night NEE (-8.34); immediate neighbors 7.61/-10.68; plot shows a coherent run of 2 half-hours below -5 (context -10.68 to 8.13); signal strong (90); QC 2; preliminary keep to preserve plausible half-hourly negative variability; no decisive artifact pattern.</t>
  </si>
  <si>
    <t>Borderline-large winter-night NEE (-10.68); immediate neighbors -8.34/3.72; plot shows a coherent run of 2 half-hours below -5 (context -10.85 to 8.13); signal strong (97); QC 2; conflicting evidence; inspect this PDF page before assigning keep/remove.</t>
  </si>
  <si>
    <t>Borderline-large winter-night NEE (-10.85); immediate neighbors 8.13/2.68; plot shows an isolated excursion (context -10.85 to 42.33); signal acceptable (89); QC 2; conflicting evidence; inspect this PDF page before assigning keep/remove.</t>
  </si>
  <si>
    <t>Modest winter-night NEE (-8.05); immediate neighbors 42.36/2.74; plot shows an isolated excursion (context -10.85 to 42.33); signal strong (98); QC 0; preliminary keep to preserve plausible half-hourly negative variability; no decisive artifact pattern.</t>
  </si>
  <si>
    <t>Modest winter-night NEE (-5.03); immediate neighbors 1.84/-17.34; plot shows a coherent run of 2 half-hours below -5 (context -17.34 to 23.77); signal strong (100); QC 1; preliminary keep to preserve plausible half-hourly negative variability; no decisive artifact pattern.</t>
  </si>
  <si>
    <t>Large winter-night NEE (-17.34); immediate neighbors -5.03/-3.81; plot shows a coherent run of 2 half-hours below -5 (context -17.34 to 21.31); signal strong (100); QC 1; preliminary removal because magnitude and/or context provides clear artifact concern.</t>
  </si>
  <si>
    <t>Modest winter-night NEE (-5.41); immediate neighbors -3.81/-8.19; plot shows a coherent run of 2 half-hours below -5 (context -17.34 to 18.60); signal strong (100); QC 1; preliminary keep to preserve plausible half-hourly negative variability; no decisive artifact pattern.</t>
  </si>
  <si>
    <t>Moderately large winter-night NEE (-13.13); immediate neighbors -34.46/-7.21; plot context is unstable/extreme (-37.35 to 98.94); signal acceptable (69); QC 2; preliminary removal because magnitude and/or context provides clear artifact concern.</t>
  </si>
  <si>
    <t>Modest winter-night NEE (-7.21); immediate neighbors -13.13/16.39; plot context is unstable/extreme (-37.35 to 98.95); signal acceptable (69); QC 0; preliminary keep to preserve plausible half-hourly negative variability; no decisive artifact pattern.</t>
  </si>
  <si>
    <t>Modest winter-night NEE (-9.37); immediate neighbors 86.52/-37.38; plot context is unstable/extreme (-37.42 to 105.52); signal low (38); QC 2; conflicting evidence; inspect this PDF page before assigning keep/remove.</t>
  </si>
  <si>
    <t>Modest winter-night NEE (-6.47); immediate neighbors -3.64/5.99; plot context is unstable/extreme (-37.42 to 105.52); signal acceptable (89); QC 2; conflicting evidence; inspect this PDF page before assigning keep/remove.</t>
  </si>
  <si>
    <t>Very large winter-night NEE (-21.11); immediate neighbors 105.36/14.56; plot context is unstable/extreme (-37.40 to 105.54); signal moderate (56); QC 1; preliminary removal because magnitude and/or context provides clear artifact concern.</t>
  </si>
  <si>
    <t>Modest winter-night NEE (-8.72); immediate neighbors 5.49/10.53; plot context is unstable/extreme (-8.72 to 208.87); signal acceptable (88); QC 2; conflicting evidence; inspect this PDF page before assigning keep/remove.</t>
  </si>
  <si>
    <t>Modest winter-night NEE (-8.59); immediate neighbors -0.36/10.17; plot shows an isolated excursion (context -8.59 to 10.17); signal acceptable (72); QC 1; preliminary keep to preserve plausible half-hourly negative variability; no decisive artifact pattern.</t>
  </si>
  <si>
    <t>Modest winter-night NEE (-8.31); immediate neighbors 7.07/-1.01; plot shows an isolated excursion (context -8.59 to 10.17); signal acceptable (62); QC 2; preliminary keep to preserve plausible half-hourly negative variability; no decisive artifact pattern.</t>
  </si>
  <si>
    <t>Large winter-night NEE (-17.54); immediate neighbors 6.62/-6.54; plot shows a coherent run of 2 half-hours below -5 (context -17.54 to 14.44); signal acceptable (89); QC 2; preliminary removal because magnitude and/or context provides clear artifact concern.</t>
  </si>
  <si>
    <t>Modest winter-night NEE (-6.54); immediate neighbors -17.54/14.44; plot shows a coherent run of 2 half-hours below -5 (context -17.54 to 14.44); signal acceptable (84); QC 2; preliminary keep to preserve plausible half-hourly negative variability; no decisive artifact pattern.</t>
  </si>
  <si>
    <t>Moderately large winter-night NEE (-12.68); immediate neighbors 2.70/7.04; plot shows an isolated excursion (context -12.68 to 7.19); signal acceptable (73); QC 2; preliminary removal because magnitude and/or context provides clear artifact concern.</t>
  </si>
  <si>
    <t>Very large winter-night NEE (-22.52); immediate neighbors 24.42/-24.27; plot shows a coherent run of 3 half-hours below -5 (context -24.27 to 24.42); signal strong (90); QC 2; preliminary removal because magnitude and/or context provides clear artifact concern.</t>
  </si>
  <si>
    <t>Very large winter-night NEE (-24.27); immediate neighbors -22.52/-20.63; plot shows a coherent run of 3 half-hours below -5 (context -24.27 to 24.42); signal acceptable (63); QC 1; preliminary removal because magnitude and/or context provides clear artifact concern.</t>
  </si>
  <si>
    <t>Very large winter-night NEE (-20.63); immediate neighbors -24.27/7.80; plot shows a coherent run of 3 half-hours below -5 (context -24.27 to 24.42); signal acceptable (64); QC 0; preliminary removal because magnitude and/or context provides clear artifact concern.</t>
  </si>
  <si>
    <t>Moderately large winter-night NEE (-12.50); immediate neighbors -42.68/0.32; plot context is unstable/extreme (-42.69 to 5.65); signal acceptable (61); QC 2; preliminary removal because magnitude and/or context provides clear artifact concern.</t>
  </si>
  <si>
    <t>Large winter-night NEE (-17.92); immediate neighbors 5.28/5.56; plot context is unstable/extreme (-42.68 to 5.56); signal acceptable (64); QC 2; preliminary removal because magnitude and/or context provides clear artifact concern.</t>
  </si>
  <si>
    <t>Modest winter-night NEE (-7.83); immediate neighbors -1.46/5.38; plot context is mixed but bounded (-20.41 to 28.90); signal acceptable (77); QC 1; preliminary keep to preserve plausible half-hourly negative variability; no decisive artifact pattern.</t>
  </si>
  <si>
    <t>Very large winter-night NEE (-20.41); immediate neighbors 15.47/-3.00; plot shows an isolated excursion (context -20.41 to 28.90); signal acceptable (74); QC 2; preliminary removal because magnitude and/or context provides clear artifact concern.</t>
  </si>
  <si>
    <t>Modest winter-night NEE (-7.04); immediate neighbors 5.47/16.01; plot shows an isolated excursion (context -15.71 to 30.64); signal acceptable (88); QC 2; preliminary keep to preserve plausible half-hourly negative variability; no decisive artifact pattern.</t>
  </si>
  <si>
    <t>Large winter-night NEE (-15.71); immediate neighbors 16.01/-5.24; plot shows a coherent run of 2 half-hours below -5 (context -29.20 to 30.61); signal moderate (59); QC 2; preliminary removal because magnitude and/or context provides clear artifact concern.</t>
  </si>
  <si>
    <t>Modest winter-night NEE (-5.24); immediate neighbors -15.71/6.70; plot shows a coherent run of 2 half-hours below -5 (context -29.19 to 30.62); signal acceptable (61); QC 0; preliminary keep to preserve plausible half-hourly negative variability; no decisive artifact pattern.</t>
  </si>
  <si>
    <t>Very large winter-night NEE (-29.21); immediate neighbors 30.64/24.18; plot shows an isolated excursion (context -29.21 to 30.60); signal acceptable (65); QC 1; preliminary removal because magnitude and/or context provides clear artifact concern.</t>
  </si>
  <si>
    <t>Borderline-large winter-night NEE (-11.53); immediate neighbors 13.41/5.92; plot shows an isolated excursion (context -29.20 to 30.61); signal acceptable (66); QC 1; conflicting evidence; inspect this PDF page before assigning keep/remove.</t>
  </si>
  <si>
    <t>Modest winter-night NEE (-7.30); immediate neighbors 1.97/10.46; plot shows an isolated excursion (context -7.30 to 10.46); signal strong (100); QC 1; preliminary keep to preserve plausible half-hourly negative variability; no decisive artifact pattern.</t>
  </si>
  <si>
    <t>Moderately large winter-night NEE (-14.21); immediate neighbors 7.21/6.32; plot shows an isolated excursion (context -14.21 to 19.93); signal very low (15); QC 1; u*=0.114 is low; the later site-specific u* scenario should handle low-turbulence screening symmetrically; preliminary removal because magnitude and/or context provides clear artifact concern.</t>
  </si>
  <si>
    <t>Moderately large winter-night NEE (-12.29); immediate neighbors 9.30/10.63; plot shows an isolated excursion (context -12.29 to 43.09); signal strong (95); QC 2; preliminary removal because magnitude and/or context provides clear artifact concern.</t>
  </si>
  <si>
    <t>Modest winter-night NEE (-8.10); immediate neighbors 8.39/2.17; plot shows an isolated excursion (context -12.29 to 43.09); signal acceptable (80); QC 2; preliminary keep to preserve plausible half-hourly negative variability; no decisive artifact pattern.</t>
  </si>
  <si>
    <t>Modest winter-night NEE (-8.70); immediate neighbors 2.17/43.08; plot shows an isolated excursion (context -12.29 to 43.09); signal acceptable (66); QC 2; preliminary keep to preserve plausible half-hourly negative variability; no decisive artifact pattern.</t>
  </si>
  <si>
    <t>Borderline-large winter-night NEE (-10.05); immediate neighbors 40.07/32.70; plot shows an isolated excursion (context -11.85 to 43.08); signal acceptable (60); QC 2; conflicting evidence; inspect this PDF page before assigning keep/remove.</t>
  </si>
  <si>
    <t>Borderline-large winter-night NEE (-11.85); immediate neighbors 1.40/-0.70; plot shows an isolated excursion (context -11.85 to 40.05); signal acceptable (85); QC 2; conflicting evidence; inspect this PDF page before assigning keep/remove.</t>
  </si>
  <si>
    <t>Modest winter-night NEE (-7.37); immediate neighbors 3.86/1.46; plot context is unstable/extreme (-11.85 to 60.61); signal strong (93); QC 2; preliminary keep to preserve plausible half-hourly negative variability; no decisive artifact pattern.</t>
  </si>
  <si>
    <t>Very large winter-night NEE (-27.84); immediate neighbors -46.31/0.76; plot context is unstable/extreme (-46.32 to 60.58); signal low (40); QC 2; preliminary removal because magnitude and/or context provides clear artifact concern.</t>
  </si>
  <si>
    <t>Modest winter-night NEE (-5.26); immediate neighbors 1.46/-12.58; plot shows a coherent run of 2 half-hours below -5 (context -28.62 to 36.80); signal moderate (52); QC 1; preliminary keep to preserve plausible half-hourly negative variability; no decisive artifact pattern.</t>
  </si>
  <si>
    <t>Moderately large winter-night NEE (-12.58); immediate neighbors -5.26/36.81; plot context is unstable/extreme (-70.34 to 36.86); signal low (49); QC 1; preliminary removal because magnitude and/or context provides clear artifact concern.</t>
  </si>
  <si>
    <t>Very large winter-night NEE (-28.63); immediate neighbors 4.73/-0.69; plot context is unstable/extreme (-70.32 to 36.88); signal acceptable (75); QC 2; preliminary removal because magnitude and/or context provides clear artifact concern.</t>
  </si>
  <si>
    <t>Modest winter-night NEE (-6.42); immediate neighbors 3.18/39.74; plot shows an isolated excursion (context -12.23 to 39.74); signal strong (100); QC 2; preliminary keep to preserve plausible half-hourly negative variability; no decisive artifact pattern.</t>
  </si>
  <si>
    <t>Moderately large winter-night NEE (-12.23); immediate neighbors 6.92/-4.54; plot shows an isolated excursion (context -12.23 to 39.74); signal strong (90); QC 2; preliminary removal because magnitude and/or context provides clear artifact concern.</t>
  </si>
  <si>
    <t>Modest winter-night NEE (-5.96); immediate neighbors -4.54/27.75; plot shows an isolated excursion (context -12.23 to 39.74); signal strong (96); QC 2; preliminary keep to preserve plausible half-hourly negative variability; no decisive artifact pattern.</t>
  </si>
  <si>
    <t>Very large winter-night NEE (-21.79); immediate neighbors 19.02/0.60; plot shows an isolated excursion (context -21.79 to 41.26); signal strong (92); QC 0; preliminary removal because magnitude and/or context provides clear artifact concern.</t>
  </si>
  <si>
    <t>Very large winter-night NEE (-25.85); immediate neighbors 34.55/0.93; plot shows an isolated excursion (context -25.85 to 41.30); signal acceptable (83); QC 1; preliminary removal because magnitude and/or context provides clear artifact concern.</t>
  </si>
  <si>
    <t>Modest winter-night NEE (-9.53); immediate neighbors 10.58/-6.22; plot shows a coherent run of 2 half-hours below -5 (context -18.88 to 24.16); signal strong (97); QC 2; preliminary keep to preserve plausible half-hourly negative variability; no decisive artifact pattern.</t>
  </si>
  <si>
    <t>Modest winter-night NEE (-6.22); immediate neighbors -9.53/3.43; plot shows a coherent run of 2 half-hours below -5 (context -18.88 to 24.15); signal acceptable (80); QC 1; preliminary keep to preserve plausible half-hourly negative variability; no decisive artifact pattern.</t>
  </si>
  <si>
    <t>Large winter-night NEE (-18.88); immediate neighbors 3.43/-6.84; plot shows a coherent run of 2 half-hours below -5 (context -18.88 to 10.59); signal acceptable (71); QC 1; preliminary removal because magnitude and/or context provides clear artifact concern.</t>
  </si>
  <si>
    <t>Modest winter-night NEE (-6.84); immediate neighbors -18.88/-4.07; plot shows a coherent run of 2 half-hours below -5 (context -18.88 to 10.59); signal acceptable (67); QC 2; preliminary keep to preserve plausible half-hourly negative variability; no decisive artifact pattern.</t>
  </si>
  <si>
    <t>Large winter-night NEE (-15.44); immediate neighbors 6.08/8.30; plot shows an isolated excursion (context -15.44 to 8.31); signal very low (27); QC 2; preliminary removal because magnitude and/or context provides clear artifact concern.</t>
  </si>
  <si>
    <t>Very large winter-night NEE (-23.44); immediate neighbors 33.47/-10.75; plot shows a coherent run of 2 half-hours below -5 (context -30.28 to 33.48); signal low (30); QC 1; preliminary removal because magnitude and/or context provides clear artifact concern.</t>
  </si>
  <si>
    <t>Borderline-large winter-night NEE (-10.75); immediate neighbors -23.44/17.82; plot shows a coherent run of 2 half-hours below -5 (context -30.28 to 33.48); signal low (36); QC 0; conflicting evidence; inspect this PDF page before assigning keep/remove.</t>
  </si>
  <si>
    <t>Modest winter-night NEE (-7.14); immediate neighbors 5.28/-0.19; plot shows an isolated excursion (context -7.14 to 6.93); signal strong (100); QC 2; preliminary keep to preserve plausible half-hourly negative variability; no decisive artifact pattern.</t>
  </si>
  <si>
    <t>Moderately large winter-night NEE (-12.65); immediate neighbors 1.86/1.48; plot context is unstable/extreme (-120.64 to 6.89); signal acceptable (70); QC 1; preliminary removal because magnitude and/or context provides clear artifact concern.</t>
  </si>
  <si>
    <t>Modest winter-night NEE (-6.38); immediate neighbors 6.88/30.95; plot context is unstable/extreme (-120.80 to 31.01); signal acceptable (64); QC 1; conflicting evidence; inspect this PDF page before assigning keep/remove.</t>
  </si>
  <si>
    <t>Modest winter-night NEE (-5.32); immediate neighbors 6.02/-30.21; plot shows a coherent run of 4 half-hours below -5 (context -30.21 to 21.00); signal low (39); QC 1; preliminary keep to preserve plausible half-hourly negative variability; no decisive artifact pattern.</t>
  </si>
  <si>
    <t>Modest winter-night NEE (-5.92); immediate neighbors -30.21/-16.41; plot shows a coherent run of 4 half-hours below -5 (context -30.21 to 21.00); signal very low (25); QC 1; conflicting evidence; inspect this PDF page before assigning keep/remove.</t>
  </si>
  <si>
    <t>Large winter-night NEE (-16.41); immediate neighbors -5.92/6.62; plot shows a coherent run of 4 half-hours below -5 (context -30.21 to 21.00); signal very low (19); QC 1; preliminary removal because magnitude and/or context provides clear artifact concern.</t>
  </si>
  <si>
    <t>Modest winter-night NEE (-6.17); immediate neighbors -0.69/-11.29; plot shows a coherent run of 3 half-hours below -5 (context -30.21 to 6.62); signal very low (29); QC 2; conflicting evidence; inspect this PDF page before assigning keep/remove.</t>
  </si>
  <si>
    <t>Borderline-large winter-night NEE (-11.29); immediate neighbors -6.17/-10.18; plot shows a coherent run of 3 half-hours below -5 (context -16.41 to 6.62); signal acceptable (69); QC 2; conflicting evidence; inspect this PDF page before assigning keep/remove.</t>
  </si>
  <si>
    <t>Borderline-large winter-night NEE (-10.18); immediate neighbors -11.29/4.03; plot shows a coherent run of 3 half-hours below -5 (context -16.41 to 6.62); signal moderate (58); QC 2; conflicting evidence; inspect this PDF page before assigning keep/remove.</t>
  </si>
  <si>
    <t>Modest winter-night NEE (-8.01); immediate neighbors -47.41/-42.49; plot context is unstable/extreme (-47.39 to 50.90); signal acceptable (68); QC 2; preliminary keep to preserve plausible half-hourly negative variability; no decisive artifact pattern.</t>
  </si>
  <si>
    <t>Modest winter-night NEE (-7.01); immediate neighbors -38.37/33.66; plot context is unstable/extreme (-47.39 to 50.90); signal very low (21); QC 2; conflicting evidence; inspect this PDF page before assigning keep/remove.</t>
  </si>
  <si>
    <t>Very large winter-night NEE (-22.28); immediate neighbors -1.32/34.04; plot context is unstable/extreme (-30.40 to 70.05); signal very low (25); QC 2; preliminary removal because magnitude and/or context provides clear artifact concern.</t>
  </si>
  <si>
    <t>Moderately large winter-night NEE (-13.32); immediate neighbors 14.52/-15.99; plot shows a coherent run of 2 half-hours below -5 (context -30.41 to 34.03); signal very low (26); QC 2; preliminary removal because magnitude and/or context provides clear artifact concern.</t>
  </si>
  <si>
    <t>Large winter-night NEE (-15.99); immediate neighbors -13.32/6.03; plot shows a coherent run of 2 half-hours below -5 (context -30.41 to 33.24); signal low (39); QC 2; preliminary removal because magnitude and/or context provides clear artifact concern.</t>
  </si>
  <si>
    <t>Moderately large winter-night NEE (-12.59); immediate neighbors 8.94/3.59; plot shows an isolated excursion (context -15.99 to 33.25); signal acceptable (72); QC 2; preliminary removal because magnitude and/or context provides clear artifact concern.</t>
  </si>
  <si>
    <t>Modest winter-night NEE (-8.51); immediate neighbors -2.04/13.84; plot context is unstable/extreme (-19.91 to 57.28); signal strong (100); QC 2; preliminary keep to preserve plausible half-hourly negative variability; no decisive artifact pattern.</t>
  </si>
  <si>
    <t>Large winter-night NEE (-19.90); immediate neighbors 57.22/5.94; plot context is unstable/extreme (-19.90 to 57.29); signal strong (97); QC 1; preliminary removal because magnitude and/or context provides clear artifact concern.</t>
  </si>
  <si>
    <t>Large winter-night NEE (-15.31); immediate neighbors 0.43/1.22; plot shows an isolated excursion (context -23.89 to 29.67); signal strong (91); QC 1; preliminary removal because magnitude and/or context provides clear artifact concern.</t>
  </si>
  <si>
    <t>Very large winter-night NEE (-29.60); immediate neighbors 1.20/-2.56; plot context is unstable/extreme (-202.12 to 49.87); signal low (33); QC 1; preliminary removal because magnitude and/or context provides clear artifact concern.</t>
  </si>
  <si>
    <t>Very large winter-night NEE (-21.22); immediate neighbors -39.65/-67.79; plot context is unstable/extreme (-201.70 to 1.43); signal low (41); QC 1; preliminary removal because magnitude and/or context provides clear artifact concern.</t>
  </si>
  <si>
    <t>Large winter-night NEE (-17.13); immediate neighbors -53.75/-2.47; plot context is unstable/extreme (-67.74 to 10.93); signal acceptable (60); QC 2; preliminary removal because magnitude and/or context provides clear artifact concern.</t>
  </si>
  <si>
    <t>Very large winter-night NEE (-22.34); immediate neighbors 7.75/51.81; plot context is unstable/extreme (-22.34 to 138.46); signal low (44); QC 1; preliminary removal because magnitude and/or context provides clear artifact concern.</t>
  </si>
  <si>
    <t>Moderately large winter-night NEE (-14.44); immediate neighbors 51.81/-11.69; plot context is unstable/extreme (-22.36 to 138.45); signal moderate (54); QC 2; preliminary removal because magnitude and/or context provides clear artifact concern.</t>
  </si>
  <si>
    <t>Borderline-large winter-night NEE (-11.69); immediate neighbors -14.44/13.18; plot context is unstable/extreme (-22.36 to 138.44); signal moderate (52); QC 1; preliminary removal because magnitude and/or context provides clear artifact concern.</t>
  </si>
  <si>
    <t>Large winter-night NEE (-15.60); immediate neighbors 138.16/-5.49; plot context is unstable/extreme (-22.36 to 138.45); signal acceptable (81); QC 2; preliminary removal because magnitude and/or context provides clear artifact concern.</t>
  </si>
  <si>
    <t>Modest winter-night NEE (-5.49); immediate neighbors -15.60/-0.94; plot context is unstable/extreme (-15.61 to 138.44); signal acceptable (88); QC 2; preliminary keep to preserve plausible half-hourly negative variability; no decisive artifact pattern.</t>
  </si>
  <si>
    <t>Borderline-large winter-night NEE (-11.60); immediate neighbors 0.43/11.03; plot shows an isolated excursion (context -23.85 to 11.03); signal very low (20); QC 0; u*=0.162 is low; the later site-specific u* scenario should handle low-turbulence screening symmetrically; preliminary removal because magnitude and/or context provides clear artifact concern.</t>
  </si>
  <si>
    <t>Large winter-night NEE (-16.19); immediate neighbors -1.14/6.33; plot context is unstable/extreme (-62.65 to 11.05); signal very low (27); QC 2; preliminary removal because magnitude and/or context provides clear artifact concern.</t>
  </si>
  <si>
    <t>Very large winter-night NEE (-23.85); immediate neighbors 6.33/-7.21; plot context is unstable/extreme (-62.64 to 11.05); signal low (45); QC 1; preliminary removal because magnitude and/or context provides clear artifact concern.</t>
  </si>
  <si>
    <t>Modest winter-night NEE (-7.21); immediate neighbors -23.85/-62.61; plot context is unstable/extreme (-62.65 to 11.04); signal acceptable (67); QC 2; conflicting evidence; inspect this PDF page before assigning keep/remove.</t>
  </si>
  <si>
    <t>Reason</t>
  </si>
  <si>
    <t>CSV-only recommendation</t>
  </si>
  <si>
    <t>Plot context</t>
  </si>
  <si>
    <t>Borderline-large winter-night NEE (-10.05); immediate neighbors 1.21/3.12; plot shows an isolated excursion (context -10.05 to 3.12); signal strong (90); QC 1; conflicting evidence</t>
  </si>
  <si>
    <t>Borderline-large winter-night NEE (-11.53); immediate neighbors -0.02/-5.83; plot shows a coherent run of 2 half-hours below -5 (context -11.53 to 2.33); signal strong (100); QC 1; u*=0.160 is low; the later site-specific u* scenario should handle low-turbulence screening symmetrically; conflicting evidence</t>
  </si>
  <si>
    <t>Modest winter-night NEE (-6.35); immediate neighbors 8.30/-12.63; plot context is unstable/extreme (-12.63 to 18.16); signal moderate (52); QC 2; conflicting evidence</t>
  </si>
  <si>
    <t>Modest winter-night NEE (-5.70); immediate neighbors 58.48/3.30; plot context is unstable/extreme (-196.74 to 106.26); signal acceptable (87); QC 0; conflicting evidence</t>
  </si>
  <si>
    <t>Modest winter-night NEE (-8.76); immediate neighbors -66.30/-90.50; plot context is unstable/extreme (-90.43 to 32.19); signal strong (93); QC 2; conflicting evidence.</t>
  </si>
  <si>
    <t>Modest winter-night NEE (-7.41); previous unavailable; next value -61.22; plot context is unstable/extreme (-90.37 to 126.57); signal low (48); QC 1; conflicting evidence.</t>
  </si>
  <si>
    <t>Modest winter-night NEE (-7.19); immediate neighbors -569.24/-29.39; plot context is unstable/extreme (-568.20 to 123.57); signal low (48); QC 0; conflicting evidence.</t>
  </si>
  <si>
    <t>Modest winter-night NEE (-8.71); immediate neighbors 107.23/28.23; plot context is unstable/extreme (-566.14 to 106.61); signal low (40); QC 1; conflicting evidence</t>
  </si>
  <si>
    <t>Borderline-large winter-night NEE (-10.44); immediate neighbors 15.23/-0.39; plot shows an isolated excursion (context -14.18 to 21.99); signal moderate (54); QC 2; conflicting evidence.</t>
  </si>
  <si>
    <t>Modest winter-night NEE (-7.65); immediate neighbors -35.88/115.18; plot context is unstable/extreme (-35.90 to 115.29); signal low (48); QC 2; conflicting evidence.</t>
  </si>
  <si>
    <t>Modest winter-night NEE (-8.09); immediate neighbors 1.51/-31.38; plot shows a coherent run of 2 half-hours below -5 (context -31.37 to 20.56); signal very low (13); QC 2; conflicting evidence</t>
  </si>
  <si>
    <t>Borderline-large winter-night NEE (-10.27); immediate neighbors 17.82/-1.24; plot shows an isolated excursion (context -31.37 to 17.81); signal low (44); QC 2; conflicting evidence.</t>
  </si>
  <si>
    <t>Modest winter-night NEE (-8.86); immediate neighbors 49.60/-13.67; plot context is unstable/extreme (-64.23 to 49.63); signal very low (17); QC 0; conflicting evidence.</t>
  </si>
  <si>
    <t>Modest winter-night NEE (-6.48); immediate neighbors -11.02/-17.86; plot context is unstable/extreme (-64.24 to 49.63); signal acceptable (61); QC 2; conflicting evidence.</t>
  </si>
  <si>
    <t>Borderline-large winter-night NEE (-11.50); immediate neighbors 1.13/-1.84; plot shows an isolated excursion (context -11.50 to 4.10); signal strong (95); QC 1; u*=0.102 is low; the later site-specific u* scenario should handle low-turbulence screening symmetrically; conflicting evidence;.</t>
  </si>
  <si>
    <t>Modest winter-night NEE (-9.18); immediate neighbors -24.77/-4.77; plot shows a coherent run of 2 half-hours below -5 (context -24.77 to 44.34); signal very low (29); QC 2; conflicting evidence</t>
  </si>
  <si>
    <t>Modest winter-night NEE (-7.10); immediate neighbors 1.17/-10.36; plot context is unstable/extreme (-70.41 to 57.78); signal acceptable (60); QC 2; conflicting evidence.</t>
  </si>
  <si>
    <t>Modest winter-night NEE (-6.12); immediate neighbors 67.04/-114.33; plot context is unstable/extreme (-114.14 to 66.91); signal very low (15); QC 0; conflicting evidence.</t>
  </si>
  <si>
    <t>Modest winter-night NEE (-6.42); immediate neighbors -35.55/1.93; plot context is unstable/extreme (-173.05 to 26.75); signal strong (100); QC 2; conflicting evidence.</t>
  </si>
  <si>
    <t>Modest winter-night NEE (-5.94); immediate neighbors 66.50/-62.27; plot context is unstable/extreme (-62.21 to 66.43); signal low (49); QC 2; conflicting evidence,</t>
  </si>
  <si>
    <t>Borderline-large winter-night NEE (-11.96); immediate neighbors -14.01/4.19; plot shows a coherent run of 2 half-hours below -5 (context -15.16 to 21.83); signal low (40); QC 1; conflicting evidence,</t>
  </si>
  <si>
    <t>Borderline-large winter-night NEE (-10.68); immediate neighbors -8.34/3.72; plot shows a coherent run of 2 half-hours below -5 (context -10.85 to 8.13); signal strong (97); QC 2; conflicting evidence.</t>
  </si>
  <si>
    <t>Borderline-large winter-night NEE (-10.85); immediate neighbors 8.13/2.68; plot shows an isolated excursion (context -10.85 to 42.33); signal acceptable (89); QC 2; conflicting evidence.</t>
  </si>
  <si>
    <t>Modest winter-night NEE (-9.37); immediate neighbors 86.52/-37.38; plot context is unstable/extreme (-37.42 to 105.52); signal low (38); QC 2; conflicting evidence;.</t>
  </si>
  <si>
    <t>Modest winter-night NEE (-6.47); immediate neighbors -3.64/5.99; plot context is unstable/extreme (-37.42 to 105.52); signal acceptable (89); QC 2; conflicting evidence.</t>
  </si>
  <si>
    <t>Modest winter-night NEE (-8.72); immediate neighbors 5.49/10.53; plot context is unstable/extreme (-8.72 to 208.87); signal acceptable (88); QC 2; conflicting evidence.</t>
  </si>
  <si>
    <t>Borderline-large winter-night NEE (-11.53); immediate neighbors 13.41/5.92; plot shows an isolated excursion (context -29.20 to 30.61); signal acceptable (66); QC 1; conflicting evidence.</t>
  </si>
  <si>
    <t>Borderline-large winter-night NEE (-10.05); immediate neighbors 40.07/32.70; plot shows an isolated excursion (context -11.85 to 43.08); signal acceptable (60); QC 2; conflicting evidence.</t>
  </si>
  <si>
    <t>Borderline-large winter-night NEE (-11.85); immediate neighbors 1.40/-0.70; plot shows an isolated excursion (context -11.85 to 40.05); signal acceptable (85); QC 2; conflicting evidence.</t>
  </si>
  <si>
    <t>Borderline-large winter-night NEE (-10.75); immediate neighbors -23.44/17.82; plot shows a coherent run of 2 half-hours below -5 (context -30.28 to 33.48); signal low (36); QC 0; conflicting evidence</t>
  </si>
  <si>
    <t>Modest winter-night NEE (-6.38); immediate neighbors 6.88/30.95; plot context is unstable/extreme (-120.80 to 31.01); signal acceptable (64); QC 1; conflicting evidence.</t>
  </si>
  <si>
    <t>Modest winter-night NEE (-5.92); immediate neighbors -30.21/-16.41; plot shows a coherent run of 4 half-hours below -5 (context -30.21 to 21.00); signal very low (25); QC 1; conflicting evidence;.</t>
  </si>
  <si>
    <t>Modest winter-night NEE (-6.17); immediate neighbors -0.69/-11.29; plot shows a coherent run of 3 half-hours below -5 (context -30.21 to 6.62); signal very low (29); QC 2; conflicting evidence.</t>
  </si>
  <si>
    <t>Borderline-large winter-night NEE (-11.29); immediate neighbors -6.17/-10.18; plot shows a coherent run of 3 half-hours below -5 (context -16.41 to 6.62); signal acceptable (69); QC 2; conflicting evidence.</t>
  </si>
  <si>
    <t>Borderline-large winter-night NEE (-10.18); immediate neighbors -11.29/4.03; plot shows a coherent run of 3 half-hours below -5 (context -16.41 to 6.62); signal moderate (58); QC 2; conflicting evidence.</t>
  </si>
  <si>
    <t>Modest winter-night NEE (-7.01); immediate neighbors -38.37/33.66; plot context is unstable/extreme (-47.39 to 50.90); signal very low (21); QC 2; conflicting evidence.</t>
  </si>
  <si>
    <t>Modest winter-night NEE (-7.21); immediate neighbors -23.85/-62.61; plot context is unstable/extreme (-62.65 to 11.04); signal acceptable (67); QC 2; conflicting evidence.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</si>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</sst>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00"/>
    <numFmt numFmtId="166" formatCode="0.0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0" borderId="4" xfId="0" applyFont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/>
    <xf numFmtId="0" fontId="0" fillId="0" borderId="8" xfId="0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4" fillId="5" borderId="4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Plot-informed recommendations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Candidates</c:v>
          </c:tx>
          <c:invertIfNegative val="1"/>
          <c:cat>
            <c:strRef>
              <c:f>Summary!$A$6:$A$8</c:f>
              <c:strCache>
                <c:ptCount val="3"/>
                <c:pt idx="0">
                  <c:v>remove</c:v>
                </c:pt>
                <c:pt idx="1">
                  <c:v>keep</c:v>
                </c:pt>
                <c:pt idx="2">
                  <c:v>verify</c:v>
                </c:pt>
              </c:strCache>
            </c:strRef>
          </c:cat>
          <c:val>
            <c:numRef>
              <c:f>Summary!$B$6:$B$8</c:f>
              <c:numCache>
                <c:formatCode>General</c:formatCode>
                <c:ptCount val="3"/>
                <c:pt idx="0">
                  <c:v>124</c:v>
                </c:pt>
                <c:pt idx="1">
                  <c:v>59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8-7041-951C-C3AFE3035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H1"/>
    </sheetView>
  </sheetViews>
  <sheetFormatPr baseColWidth="10" defaultColWidth="8.83203125" defaultRowHeight="14"/>
  <cols>
    <col min="1" max="1" width="18" customWidth="1"/>
    <col min="2" max="2" width="68" customWidth="1"/>
    <col min="3" max="3" width="3" customWidth="1"/>
    <col min="4" max="4" width="34" customWidth="1"/>
    <col min="5" max="5" width="14" customWidth="1"/>
  </cols>
  <sheetData>
    <row r="1" spans="1:8" ht="37.25" customHeight="1">
      <c r="A1" s="20" t="s">
        <v>0</v>
      </c>
      <c r="B1" s="20"/>
      <c r="C1" s="20"/>
      <c r="D1" s="20"/>
      <c r="E1" s="20"/>
      <c r="F1" s="20"/>
      <c r="G1" s="20"/>
      <c r="H1" s="20"/>
    </row>
    <row r="3" spans="1:8" ht="64" customHeight="1">
      <c r="A3" s="21" t="s">
        <v>1</v>
      </c>
      <c r="B3" s="21"/>
      <c r="C3" s="21"/>
      <c r="D3" s="21"/>
      <c r="E3" s="21"/>
      <c r="F3" s="21"/>
      <c r="G3" s="21"/>
      <c r="H3" s="21"/>
    </row>
    <row r="5" spans="1:8" ht="16">
      <c r="A5" s="4" t="s">
        <v>2</v>
      </c>
      <c r="B5" s="5" t="s">
        <v>3</v>
      </c>
      <c r="C5" s="6"/>
      <c r="D5" s="5" t="s">
        <v>4</v>
      </c>
      <c r="E5" s="7" t="s">
        <v>3</v>
      </c>
    </row>
    <row r="6" spans="1:8">
      <c r="A6" s="8" t="s">
        <v>5</v>
      </c>
      <c r="B6">
        <f>COUNTIF('All Candidates'!$Q$2:$Q$184,A6)</f>
        <v>124</v>
      </c>
      <c r="D6" t="s">
        <v>6</v>
      </c>
      <c r="E6" s="9">
        <f>COUNTIF('All Candidates'!$B$2:$B$184,D6)</f>
        <v>69</v>
      </c>
    </row>
    <row r="7" spans="1:8">
      <c r="A7" s="8" t="s">
        <v>7</v>
      </c>
      <c r="B7">
        <f>COUNTIF('All Candidates'!$Q$2:$Q$184,A7)</f>
        <v>59</v>
      </c>
      <c r="D7" t="s">
        <v>8</v>
      </c>
      <c r="E7" s="9">
        <f>COUNTIF('All Candidates'!$B$2:$B$184,D7)</f>
        <v>114</v>
      </c>
    </row>
    <row r="8" spans="1:8">
      <c r="A8" s="8" t="s">
        <v>9</v>
      </c>
      <c r="B8">
        <f>COUNTIF('All Candidates'!$Q$2:$Q$184,A8)</f>
        <v>0</v>
      </c>
      <c r="D8" t="s">
        <v>10</v>
      </c>
      <c r="E8" s="9">
        <f>COUNTA('All Candidates'!$A$2:$A$184)</f>
        <v>183</v>
      </c>
    </row>
    <row r="9" spans="1:8">
      <c r="A9" s="8"/>
      <c r="E9" s="9"/>
    </row>
    <row r="10" spans="1:8">
      <c r="A10" s="8"/>
      <c r="E10" s="9"/>
    </row>
    <row r="11" spans="1:8" ht="15">
      <c r="A11" s="22" t="s">
        <v>11</v>
      </c>
      <c r="B11" s="23"/>
      <c r="C11" s="23"/>
      <c r="D11" s="23" t="s">
        <v>12</v>
      </c>
      <c r="E11" s="24"/>
      <c r="F11" s="23"/>
      <c r="G11" s="23"/>
      <c r="H11" s="23"/>
    </row>
    <row r="12" spans="1:8" ht="66.75" customHeight="1">
      <c r="A12" s="10" t="s">
        <v>13</v>
      </c>
      <c r="B12" s="3" t="s">
        <v>14</v>
      </c>
      <c r="D12" s="2" t="s">
        <v>15</v>
      </c>
      <c r="E12" s="9">
        <v>53</v>
      </c>
    </row>
    <row r="13" spans="1:8" ht="66.75" customHeight="1">
      <c r="A13" s="10" t="s">
        <v>16</v>
      </c>
      <c r="B13" s="3" t="s">
        <v>17</v>
      </c>
      <c r="D13" s="2" t="s">
        <v>18</v>
      </c>
      <c r="E13" s="9">
        <v>42</v>
      </c>
    </row>
    <row r="14" spans="1:8" ht="66.75" customHeight="1">
      <c r="A14" s="10" t="s">
        <v>19</v>
      </c>
      <c r="B14" s="3" t="s">
        <v>20</v>
      </c>
      <c r="D14" s="2" t="s">
        <v>21</v>
      </c>
      <c r="E14" s="9">
        <v>85</v>
      </c>
    </row>
    <row r="15" spans="1:8" ht="66.75" customHeight="1">
      <c r="A15" s="10" t="s">
        <v>22</v>
      </c>
      <c r="B15" s="3" t="s">
        <v>23</v>
      </c>
      <c r="D15" s="2" t="s">
        <v>24</v>
      </c>
      <c r="E15" s="9">
        <v>3</v>
      </c>
    </row>
    <row r="16" spans="1:8" ht="15">
      <c r="A16" s="8"/>
      <c r="D16" s="2" t="s">
        <v>25</v>
      </c>
      <c r="E16" s="9">
        <v>36</v>
      </c>
    </row>
    <row r="17" spans="1:8" ht="15">
      <c r="A17" s="8"/>
      <c r="D17" s="2" t="s">
        <v>26</v>
      </c>
      <c r="E17" s="9">
        <v>57</v>
      </c>
    </row>
    <row r="18" spans="1:8" ht="15">
      <c r="A18" s="11"/>
      <c r="B18" s="12"/>
      <c r="C18" s="12"/>
      <c r="D18" s="13" t="s">
        <v>27</v>
      </c>
      <c r="E18" s="14">
        <v>183</v>
      </c>
    </row>
    <row r="20" spans="1:8" ht="50.75" customHeight="1">
      <c r="A20" s="21" t="s">
        <v>28</v>
      </c>
      <c r="B20" s="21"/>
      <c r="C20" s="21"/>
      <c r="D20" s="21"/>
      <c r="E20" s="21"/>
      <c r="F20" s="21"/>
      <c r="G20" s="21"/>
      <c r="H20" s="21"/>
    </row>
  </sheetData>
  <mergeCells count="4">
    <mergeCell ref="A1:H1"/>
    <mergeCell ref="A3:H3"/>
    <mergeCell ref="A11:H11"/>
    <mergeCell ref="A20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4"/>
  <sheetViews>
    <sheetView tabSelected="1" topLeftCell="M13" workbookViewId="0">
      <selection activeCell="R15" sqref="R15"/>
    </sheetView>
  </sheetViews>
  <sheetFormatPr baseColWidth="10" defaultColWidth="8.83203125" defaultRowHeight="14"/>
  <cols>
    <col min="1" max="1" width="10" customWidth="1"/>
    <col min="2" max="2" width="7" customWidth="1"/>
    <col min="3" max="3" width="20" customWidth="1"/>
    <col min="4" max="6" width="11" customWidth="1"/>
    <col min="7" max="9" width="9" customWidth="1"/>
    <col min="10" max="10" width="6" customWidth="1"/>
    <col min="11" max="11" width="9" customWidth="1"/>
    <col min="12" max="12" width="13" customWidth="1"/>
    <col min="13" max="13" width="27" customWidth="1"/>
    <col min="14" max="15" width="13" customWidth="1"/>
    <col min="16" max="16" width="12" customWidth="1"/>
    <col min="17" max="17" width="20" customWidth="1"/>
    <col min="18" max="18" width="65" customWidth="1"/>
  </cols>
  <sheetData>
    <row r="1" spans="1:18" ht="56" customHeight="1">
      <c r="A1" s="1" t="s">
        <v>29</v>
      </c>
      <c r="B1" s="1" t="s">
        <v>4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280</v>
      </c>
      <c r="R1" s="1" t="s">
        <v>46</v>
      </c>
    </row>
    <row r="2" spans="1:18" ht="45">
      <c r="A2">
        <v>1</v>
      </c>
      <c r="B2" t="s">
        <v>6</v>
      </c>
      <c r="C2" s="15">
        <v>45302.8125</v>
      </c>
      <c r="D2" s="16">
        <v>-10.053470000000001</v>
      </c>
      <c r="E2" s="16">
        <v>1.2133096000000001</v>
      </c>
      <c r="F2" s="16">
        <v>3.1166549999999997</v>
      </c>
      <c r="G2" s="16">
        <v>0</v>
      </c>
      <c r="H2" s="16">
        <v>2.7000000000043656E-2</v>
      </c>
      <c r="I2" s="16">
        <v>0.23331199999999999</v>
      </c>
      <c r="J2" s="17">
        <v>1</v>
      </c>
      <c r="K2" s="18">
        <v>90</v>
      </c>
      <c r="L2" s="18">
        <v>212.48400000000001</v>
      </c>
      <c r="M2" t="s">
        <v>50</v>
      </c>
      <c r="N2" s="19">
        <v>-10.053470000000001</v>
      </c>
      <c r="O2" s="19">
        <v>3.1159879015533392</v>
      </c>
      <c r="P2">
        <v>1</v>
      </c>
      <c r="Q2" t="s">
        <v>5</v>
      </c>
      <c r="R2" s="3" t="s">
        <v>243</v>
      </c>
    </row>
    <row r="3" spans="1:18" ht="60">
      <c r="A3">
        <v>2</v>
      </c>
      <c r="B3" t="s">
        <v>6</v>
      </c>
      <c r="C3" s="15">
        <v>45305.875</v>
      </c>
      <c r="D3" s="16">
        <v>-7.7114539999999998</v>
      </c>
      <c r="E3" s="16">
        <v>0.54508510999999993</v>
      </c>
      <c r="F3" s="16">
        <v>-0.79450799999999999</v>
      </c>
      <c r="G3" s="16">
        <v>0.11111111111111112</v>
      </c>
      <c r="H3" s="16">
        <v>-11.64</v>
      </c>
      <c r="I3" s="16">
        <v>0.54362999999999995</v>
      </c>
      <c r="J3" s="17">
        <v>1</v>
      </c>
      <c r="K3" s="18">
        <v>100</v>
      </c>
      <c r="L3" s="18">
        <v>205.74799999999999</v>
      </c>
      <c r="M3" t="s">
        <v>50</v>
      </c>
      <c r="N3" s="19">
        <v>-7.7114539999999998</v>
      </c>
      <c r="O3" s="19">
        <v>1.7161008575074144</v>
      </c>
      <c r="P3">
        <v>1</v>
      </c>
      <c r="Q3" t="s">
        <v>7</v>
      </c>
      <c r="R3" s="3" t="s">
        <v>54</v>
      </c>
    </row>
    <row r="4" spans="1:18" ht="60">
      <c r="A4">
        <v>3</v>
      </c>
      <c r="B4" t="s">
        <v>6</v>
      </c>
      <c r="C4" s="15">
        <v>45329.791666666664</v>
      </c>
      <c r="D4" s="16">
        <v>-11.526071</v>
      </c>
      <c r="E4" s="16">
        <v>-2.2838999999999998E-2</v>
      </c>
      <c r="F4" s="16">
        <v>-5.8255840000000001</v>
      </c>
      <c r="G4" s="16">
        <v>5.9173400000000001E-3</v>
      </c>
      <c r="H4" s="16">
        <v>4.285000000000025</v>
      </c>
      <c r="I4" s="16">
        <v>0.159832</v>
      </c>
      <c r="J4" s="17">
        <v>1</v>
      </c>
      <c r="K4" s="18">
        <v>100</v>
      </c>
      <c r="L4" s="18">
        <v>130.393</v>
      </c>
      <c r="M4" t="s">
        <v>55</v>
      </c>
      <c r="N4" s="19">
        <v>-11.526071</v>
      </c>
      <c r="O4" s="19">
        <v>2.3328378423681553</v>
      </c>
      <c r="P4">
        <v>2</v>
      </c>
      <c r="Q4" t="s">
        <v>5</v>
      </c>
      <c r="R4" s="3" t="s">
        <v>244</v>
      </c>
    </row>
    <row r="5" spans="1:18" ht="90">
      <c r="A5">
        <v>4</v>
      </c>
      <c r="B5" t="s">
        <v>6</v>
      </c>
      <c r="C5" s="15">
        <v>45329.8125</v>
      </c>
      <c r="D5" s="16">
        <v>-5.8255840000000001</v>
      </c>
      <c r="E5" s="16">
        <v>-11.526071</v>
      </c>
      <c r="F5" s="16">
        <v>-4.2926549999999999</v>
      </c>
      <c r="G5" s="16">
        <v>0</v>
      </c>
      <c r="H5" s="16">
        <v>3.4770000000000323</v>
      </c>
      <c r="I5" s="16">
        <v>0.18540400000000001</v>
      </c>
      <c r="J5" s="17">
        <v>1</v>
      </c>
      <c r="K5" s="18">
        <v>100</v>
      </c>
      <c r="L5" s="18">
        <v>142.28700000000001</v>
      </c>
      <c r="M5" t="s">
        <v>55</v>
      </c>
      <c r="N5" s="19">
        <v>-11.526302959714608</v>
      </c>
      <c r="O5" s="19">
        <v>2.3326073246104553</v>
      </c>
      <c r="P5">
        <v>2</v>
      </c>
      <c r="Q5" t="s">
        <v>7</v>
      </c>
      <c r="R5" s="3" t="s">
        <v>57</v>
      </c>
    </row>
    <row r="6" spans="1:18" ht="75">
      <c r="A6">
        <v>5</v>
      </c>
      <c r="B6" t="s">
        <v>6</v>
      </c>
      <c r="C6" s="15">
        <v>45336.229166666664</v>
      </c>
      <c r="D6" s="16">
        <v>-7.1031129999999996</v>
      </c>
      <c r="E6" s="16">
        <v>-1.081321</v>
      </c>
      <c r="F6" s="16">
        <v>1.1097360000000001</v>
      </c>
      <c r="G6" s="16">
        <v>0.11111111111111112</v>
      </c>
      <c r="H6" s="16">
        <v>-4.95</v>
      </c>
      <c r="I6" s="16">
        <v>0.101634</v>
      </c>
      <c r="J6" s="17">
        <v>1</v>
      </c>
      <c r="K6" s="18">
        <v>97</v>
      </c>
      <c r="L6" s="18">
        <v>246.864</v>
      </c>
      <c r="M6" t="s">
        <v>58</v>
      </c>
      <c r="N6" s="19">
        <v>-7.1031129999999996</v>
      </c>
      <c r="O6" s="19">
        <v>2.2391563812231219</v>
      </c>
      <c r="P6">
        <v>1</v>
      </c>
      <c r="Q6" t="s">
        <v>7</v>
      </c>
      <c r="R6" s="3" t="s">
        <v>59</v>
      </c>
    </row>
    <row r="7" spans="1:18" ht="45">
      <c r="A7">
        <v>6</v>
      </c>
      <c r="B7" t="s">
        <v>6</v>
      </c>
      <c r="C7" s="15">
        <v>45337.354166666664</v>
      </c>
      <c r="D7" s="16">
        <v>-16.939439999999998</v>
      </c>
      <c r="E7" s="16">
        <v>0.89773669999999994</v>
      </c>
      <c r="F7" s="16">
        <v>14.8148</v>
      </c>
      <c r="G7" s="16">
        <v>0.1388888888888889</v>
      </c>
      <c r="H7" s="16">
        <v>-1.31</v>
      </c>
      <c r="I7" s="16">
        <v>0.40870299999999998</v>
      </c>
      <c r="J7" s="17">
        <v>2</v>
      </c>
      <c r="K7" s="18">
        <v>89</v>
      </c>
      <c r="L7" s="18">
        <v>156.90899999999999</v>
      </c>
      <c r="M7" t="s">
        <v>60</v>
      </c>
      <c r="N7" s="19">
        <v>-49.897864059832145</v>
      </c>
      <c r="O7" s="19">
        <v>17.00665453747585</v>
      </c>
      <c r="P7">
        <v>1</v>
      </c>
      <c r="Q7" t="s">
        <v>5</v>
      </c>
      <c r="R7" s="3" t="s">
        <v>61</v>
      </c>
    </row>
    <row r="8" spans="1:18" ht="60">
      <c r="A8">
        <v>7</v>
      </c>
      <c r="B8" t="s">
        <v>6</v>
      </c>
      <c r="C8" s="15">
        <v>45339.083333333336</v>
      </c>
      <c r="D8" s="16">
        <v>-6.6025270000000003</v>
      </c>
      <c r="E8" s="16">
        <v>1.6316168</v>
      </c>
      <c r="F8" s="16">
        <v>1.58952</v>
      </c>
      <c r="G8" s="16">
        <v>0</v>
      </c>
      <c r="H8" s="16">
        <v>-6.9449999999999932</v>
      </c>
      <c r="I8" s="16">
        <v>0.57085399999999997</v>
      </c>
      <c r="J8" s="17">
        <v>1</v>
      </c>
      <c r="K8" s="18">
        <v>100</v>
      </c>
      <c r="L8" s="18">
        <v>300.68900000000002</v>
      </c>
      <c r="M8" t="s">
        <v>50</v>
      </c>
      <c r="N8" s="19">
        <v>-6.6025270000000003</v>
      </c>
      <c r="O8" s="19">
        <v>11.802969611583354</v>
      </c>
      <c r="P8">
        <v>1</v>
      </c>
      <c r="Q8" t="s">
        <v>7</v>
      </c>
      <c r="R8" s="3" t="s">
        <v>62</v>
      </c>
    </row>
    <row r="9" spans="1:18" ht="60">
      <c r="A9">
        <v>8</v>
      </c>
      <c r="B9" t="s">
        <v>6</v>
      </c>
      <c r="C9" s="15">
        <v>45344.208333333336</v>
      </c>
      <c r="D9" s="16">
        <v>-14.901580000000001</v>
      </c>
      <c r="E9" s="16">
        <v>1.3366149999999999</v>
      </c>
      <c r="F9" s="16">
        <v>1.6556069999999998</v>
      </c>
      <c r="G9" s="16">
        <v>1.38066E-4</v>
      </c>
      <c r="H9" s="16">
        <v>1.1170000000000186</v>
      </c>
      <c r="I9" s="16">
        <v>0.205318</v>
      </c>
      <c r="J9" s="17">
        <v>1</v>
      </c>
      <c r="K9" s="18">
        <v>98</v>
      </c>
      <c r="L9" s="18">
        <v>173.684</v>
      </c>
      <c r="M9" t="s">
        <v>60</v>
      </c>
      <c r="N9" s="19">
        <v>-14.901580000000001</v>
      </c>
      <c r="O9" s="19">
        <v>56.847424894158962</v>
      </c>
      <c r="P9">
        <v>1</v>
      </c>
      <c r="Q9" t="s">
        <v>5</v>
      </c>
      <c r="R9" s="3" t="s">
        <v>63</v>
      </c>
    </row>
    <row r="10" spans="1:18" ht="60">
      <c r="A10">
        <v>9</v>
      </c>
      <c r="B10" t="s">
        <v>6</v>
      </c>
      <c r="C10" s="15">
        <v>45349.979166666664</v>
      </c>
      <c r="D10" s="16">
        <v>-18.132709999999999</v>
      </c>
      <c r="E10" s="16">
        <v>1.5253950000000001</v>
      </c>
      <c r="F10" s="16">
        <v>-39.224969999999999</v>
      </c>
      <c r="G10" s="16">
        <v>0</v>
      </c>
      <c r="H10" s="16">
        <v>16.025000000000034</v>
      </c>
      <c r="I10" s="16">
        <v>0.388214</v>
      </c>
      <c r="J10" s="17">
        <v>0</v>
      </c>
      <c r="K10" s="18">
        <v>94</v>
      </c>
      <c r="L10" s="18">
        <v>172.10599999999999</v>
      </c>
      <c r="M10" t="s">
        <v>55</v>
      </c>
      <c r="N10" s="19">
        <v>-39.229504488575138</v>
      </c>
      <c r="O10" s="19">
        <v>3.7778573230784644</v>
      </c>
      <c r="P10">
        <v>5</v>
      </c>
      <c r="Q10" t="s">
        <v>5</v>
      </c>
      <c r="R10" s="3" t="s">
        <v>65</v>
      </c>
    </row>
    <row r="11" spans="1:18" ht="60">
      <c r="A11">
        <v>10</v>
      </c>
      <c r="B11" t="s">
        <v>6</v>
      </c>
      <c r="C11" s="15">
        <v>45350.020833333336</v>
      </c>
      <c r="D11" s="16">
        <v>-9.3880800000000004</v>
      </c>
      <c r="E11" s="16">
        <v>-39.224969999999999</v>
      </c>
      <c r="F11" s="16">
        <v>-22.19455</v>
      </c>
      <c r="G11" s="16">
        <v>0</v>
      </c>
      <c r="H11" s="16">
        <v>14.143000000000029</v>
      </c>
      <c r="I11" s="16">
        <v>0.50134800000000002</v>
      </c>
      <c r="J11" s="17">
        <v>2</v>
      </c>
      <c r="K11" s="18">
        <v>60</v>
      </c>
      <c r="L11" s="18">
        <v>141.41200000000001</v>
      </c>
      <c r="M11" t="s">
        <v>55</v>
      </c>
      <c r="N11" s="19">
        <v>-39.228126352340269</v>
      </c>
      <c r="O11" s="19">
        <v>7.686445933099554</v>
      </c>
      <c r="P11">
        <v>5</v>
      </c>
      <c r="Q11" t="s">
        <v>7</v>
      </c>
      <c r="R11" s="3" t="s">
        <v>66</v>
      </c>
    </row>
    <row r="12" spans="1:18" ht="60">
      <c r="A12">
        <v>11</v>
      </c>
      <c r="B12" t="s">
        <v>6</v>
      </c>
      <c r="C12" s="15">
        <v>45350.041666666664</v>
      </c>
      <c r="D12" s="16">
        <v>-22.19455</v>
      </c>
      <c r="E12" s="16">
        <v>-9.3880800000000004</v>
      </c>
      <c r="F12" s="16">
        <v>-7.2895899999999987</v>
      </c>
      <c r="G12" s="16">
        <v>0</v>
      </c>
      <c r="H12" s="16">
        <v>13.637</v>
      </c>
      <c r="I12" s="16">
        <v>0.36124699999999998</v>
      </c>
      <c r="J12" s="17">
        <v>2</v>
      </c>
      <c r="K12" s="18">
        <v>93</v>
      </c>
      <c r="L12" s="18">
        <v>245.30799999999999</v>
      </c>
      <c r="M12" t="s">
        <v>55</v>
      </c>
      <c r="N12" s="19">
        <v>-39.227497454331044</v>
      </c>
      <c r="O12" s="19">
        <v>7.6870748311087826</v>
      </c>
      <c r="P12">
        <v>5</v>
      </c>
      <c r="Q12" t="s">
        <v>5</v>
      </c>
      <c r="R12" s="3" t="s">
        <v>67</v>
      </c>
    </row>
    <row r="13" spans="1:18" ht="60">
      <c r="A13">
        <v>12</v>
      </c>
      <c r="B13" t="s">
        <v>6</v>
      </c>
      <c r="C13" s="15">
        <v>45350.0625</v>
      </c>
      <c r="D13" s="16">
        <v>-7.2895899999999987</v>
      </c>
      <c r="E13" s="16">
        <v>-22.19455</v>
      </c>
      <c r="F13" s="16">
        <v>1.945225</v>
      </c>
      <c r="G13" s="16">
        <v>0</v>
      </c>
      <c r="H13" s="16">
        <v>11.461000000000013</v>
      </c>
      <c r="I13" s="16">
        <v>0.380884</v>
      </c>
      <c r="J13" s="17">
        <v>0</v>
      </c>
      <c r="K13" s="18">
        <v>100</v>
      </c>
      <c r="L13" s="18">
        <v>288.69900000000001</v>
      </c>
      <c r="M13" t="s">
        <v>55</v>
      </c>
      <c r="N13" s="19">
        <v>-39.228163386649591</v>
      </c>
      <c r="O13" s="19">
        <v>7.6864088987902317</v>
      </c>
      <c r="P13">
        <v>5</v>
      </c>
      <c r="Q13" t="s">
        <v>7</v>
      </c>
      <c r="R13" s="3" t="s">
        <v>68</v>
      </c>
    </row>
    <row r="14" spans="1:18" ht="60">
      <c r="A14">
        <v>13</v>
      </c>
      <c r="B14" t="s">
        <v>6</v>
      </c>
      <c r="C14" s="15">
        <v>45353.895833333336</v>
      </c>
      <c r="D14" s="16">
        <v>-7.8123130000000005</v>
      </c>
      <c r="E14" s="16">
        <v>-3.8410159999999998</v>
      </c>
      <c r="F14" s="16">
        <v>-0.60562000000000005</v>
      </c>
      <c r="G14" s="16">
        <v>0</v>
      </c>
      <c r="H14" s="16">
        <v>4.0850000000000364</v>
      </c>
      <c r="I14" s="16">
        <v>0.19689000000000001</v>
      </c>
      <c r="J14" s="17">
        <v>1</v>
      </c>
      <c r="K14" s="18">
        <v>100</v>
      </c>
      <c r="L14" s="18">
        <v>142.65799999999999</v>
      </c>
      <c r="M14" t="s">
        <v>50</v>
      </c>
      <c r="N14" s="19">
        <v>-7.8123130000000005</v>
      </c>
      <c r="O14" s="19">
        <v>1.0726403453978817</v>
      </c>
      <c r="P14">
        <v>1</v>
      </c>
      <c r="Q14" t="s">
        <v>7</v>
      </c>
      <c r="R14" s="3" t="s">
        <v>69</v>
      </c>
    </row>
    <row r="15" spans="1:18" ht="45">
      <c r="A15">
        <v>14</v>
      </c>
      <c r="B15" t="s">
        <v>6</v>
      </c>
      <c r="C15" s="15">
        <v>45356.125</v>
      </c>
      <c r="D15" s="16">
        <v>-6.3516969999999997</v>
      </c>
      <c r="E15" s="16">
        <v>8.3015270000000001</v>
      </c>
      <c r="F15" s="16">
        <v>-12.634790000000001</v>
      </c>
      <c r="G15" s="16">
        <v>0</v>
      </c>
      <c r="H15" s="16">
        <v>11.081000000000017</v>
      </c>
      <c r="I15" s="16">
        <v>0.552813</v>
      </c>
      <c r="J15" s="17">
        <v>2</v>
      </c>
      <c r="K15" s="18">
        <v>52</v>
      </c>
      <c r="L15" s="18">
        <v>311.524</v>
      </c>
      <c r="M15" t="s">
        <v>60</v>
      </c>
      <c r="N15" s="19">
        <v>-12.634771598247129</v>
      </c>
      <c r="O15" s="19">
        <v>18.162165364555001</v>
      </c>
      <c r="P15">
        <v>2</v>
      </c>
      <c r="Q15" t="s">
        <v>5</v>
      </c>
      <c r="R15" s="3" t="s">
        <v>245</v>
      </c>
    </row>
    <row r="16" spans="1:18" ht="60">
      <c r="A16">
        <v>15</v>
      </c>
      <c r="B16" t="s">
        <v>6</v>
      </c>
      <c r="C16" s="15">
        <v>45367.9375</v>
      </c>
      <c r="D16" s="16">
        <v>-8.1275200000000005</v>
      </c>
      <c r="E16" s="16">
        <v>2.577334</v>
      </c>
      <c r="F16" s="16">
        <v>4.7857400000000005</v>
      </c>
      <c r="G16" s="16">
        <v>0</v>
      </c>
      <c r="H16" s="16">
        <v>3.6200000000000045</v>
      </c>
      <c r="I16" s="16">
        <v>0.56156799999999996</v>
      </c>
      <c r="J16" s="17">
        <v>2</v>
      </c>
      <c r="K16" s="18">
        <v>84</v>
      </c>
      <c r="L16" s="18">
        <v>307.60700000000003</v>
      </c>
      <c r="M16" t="s">
        <v>50</v>
      </c>
      <c r="N16" s="19">
        <v>-8.1275200000000005</v>
      </c>
      <c r="O16" s="19">
        <v>4.7867972484516805</v>
      </c>
      <c r="P16">
        <v>1</v>
      </c>
      <c r="Q16" t="s">
        <v>7</v>
      </c>
      <c r="R16" s="3" t="s">
        <v>71</v>
      </c>
    </row>
    <row r="17" spans="1:18" ht="60">
      <c r="A17">
        <v>16</v>
      </c>
      <c r="B17" t="s">
        <v>6</v>
      </c>
      <c r="C17" s="15">
        <v>45377.1875</v>
      </c>
      <c r="D17" s="16">
        <v>-23.388929999999998</v>
      </c>
      <c r="E17" s="16">
        <v>85.65746</v>
      </c>
      <c r="F17" s="16">
        <v>-14.054976</v>
      </c>
      <c r="G17" s="16">
        <v>0</v>
      </c>
      <c r="H17" s="16">
        <v>8.93100000000004</v>
      </c>
      <c r="I17" s="16">
        <v>0.67210199999999998</v>
      </c>
      <c r="J17" s="17">
        <v>1</v>
      </c>
      <c r="K17" s="18">
        <v>62</v>
      </c>
      <c r="L17" s="18">
        <v>141.595</v>
      </c>
      <c r="M17" t="s">
        <v>60</v>
      </c>
      <c r="N17" s="19">
        <v>-23.388929999999998</v>
      </c>
      <c r="O17" s="19">
        <v>85.729341488322049</v>
      </c>
      <c r="P17">
        <v>2</v>
      </c>
      <c r="Q17" t="s">
        <v>5</v>
      </c>
      <c r="R17" s="3" t="s">
        <v>72</v>
      </c>
    </row>
    <row r="18" spans="1:18" ht="60">
      <c r="A18">
        <v>17</v>
      </c>
      <c r="B18" t="s">
        <v>6</v>
      </c>
      <c r="C18" s="15">
        <v>45377.208333333336</v>
      </c>
      <c r="D18" s="16">
        <v>-14.054976</v>
      </c>
      <c r="E18" s="16">
        <v>-23.388929999999998</v>
      </c>
      <c r="F18" s="16">
        <v>3.6678779999999995</v>
      </c>
      <c r="G18" s="16">
        <v>0</v>
      </c>
      <c r="H18" s="16">
        <v>8.1230000000000473</v>
      </c>
      <c r="I18" s="16">
        <v>0.603487</v>
      </c>
      <c r="J18" s="17">
        <v>1</v>
      </c>
      <c r="K18" s="18">
        <v>64</v>
      </c>
      <c r="L18" s="18">
        <v>128.363</v>
      </c>
      <c r="M18" t="s">
        <v>60</v>
      </c>
      <c r="N18" s="19">
        <v>-23.396498063932498</v>
      </c>
      <c r="O18" s="19">
        <v>85.721784777653156</v>
      </c>
      <c r="P18">
        <v>2</v>
      </c>
      <c r="Q18" t="s">
        <v>5</v>
      </c>
      <c r="R18" s="3" t="s">
        <v>73</v>
      </c>
    </row>
    <row r="19" spans="1:18" ht="60">
      <c r="A19">
        <v>18</v>
      </c>
      <c r="B19" t="s">
        <v>6</v>
      </c>
      <c r="C19" s="15">
        <v>45377.354166666664</v>
      </c>
      <c r="D19" s="16">
        <v>-14.725330000000001</v>
      </c>
      <c r="E19" s="16">
        <v>36.378549999999997</v>
      </c>
      <c r="F19" s="16">
        <v>28.279081999999999</v>
      </c>
      <c r="G19" s="16">
        <v>2.38314</v>
      </c>
      <c r="H19" s="16">
        <v>8.9120000000000346</v>
      </c>
      <c r="I19" s="16">
        <v>0.86283500000000002</v>
      </c>
      <c r="J19" s="17">
        <v>0</v>
      </c>
      <c r="K19" s="18">
        <v>65</v>
      </c>
      <c r="L19" s="18">
        <v>149.26</v>
      </c>
      <c r="M19" t="s">
        <v>50</v>
      </c>
      <c r="N19" s="19">
        <v>-25.34612355945788</v>
      </c>
      <c r="O19" s="19">
        <v>36.377335406232973</v>
      </c>
      <c r="P19">
        <v>1</v>
      </c>
      <c r="Q19" t="s">
        <v>5</v>
      </c>
      <c r="R19" s="3" t="s">
        <v>74</v>
      </c>
    </row>
    <row r="20" spans="1:18" ht="60">
      <c r="A20">
        <v>19</v>
      </c>
      <c r="B20" t="s">
        <v>6</v>
      </c>
      <c r="C20" s="15">
        <v>45377.9375</v>
      </c>
      <c r="D20" s="16">
        <v>-9.8428399999999989</v>
      </c>
      <c r="E20" s="16">
        <v>17.055610000000001</v>
      </c>
      <c r="F20" s="16">
        <v>2.1639679999999997</v>
      </c>
      <c r="G20" s="16">
        <v>0</v>
      </c>
      <c r="H20" s="16">
        <v>3.7630000000000337</v>
      </c>
      <c r="I20" s="16">
        <v>0.76067399999999996</v>
      </c>
      <c r="J20" s="17">
        <v>0</v>
      </c>
      <c r="K20" s="18">
        <v>47</v>
      </c>
      <c r="L20" s="18">
        <v>246.79900000000001</v>
      </c>
      <c r="M20" t="s">
        <v>50</v>
      </c>
      <c r="N20" s="19">
        <v>-9.8428399999999989</v>
      </c>
      <c r="O20" s="19">
        <v>17.056450349015289</v>
      </c>
      <c r="P20">
        <v>1</v>
      </c>
      <c r="Q20" t="s">
        <v>7</v>
      </c>
      <c r="R20" s="3" t="s">
        <v>75</v>
      </c>
    </row>
    <row r="21" spans="1:18" ht="60">
      <c r="A21">
        <v>20</v>
      </c>
      <c r="B21" t="s">
        <v>6</v>
      </c>
      <c r="C21" s="15">
        <v>45597.125</v>
      </c>
      <c r="D21" s="16">
        <v>-21.415599999999998</v>
      </c>
      <c r="E21" s="16">
        <v>62.308460000000004</v>
      </c>
      <c r="F21" s="16">
        <v>106.11439999999999</v>
      </c>
      <c r="G21" s="16">
        <v>0</v>
      </c>
      <c r="H21" s="16">
        <v>6.4809999999999945</v>
      </c>
      <c r="I21" s="16">
        <v>0.59401999999999999</v>
      </c>
      <c r="J21" s="17">
        <v>1</v>
      </c>
      <c r="K21" s="18">
        <v>93</v>
      </c>
      <c r="L21" s="18">
        <v>271.65499999999997</v>
      </c>
      <c r="M21" t="s">
        <v>60</v>
      </c>
      <c r="N21" s="19">
        <v>-195.89239877929498</v>
      </c>
      <c r="O21" s="19">
        <v>117.47347364659545</v>
      </c>
      <c r="P21">
        <v>1</v>
      </c>
      <c r="Q21" t="s">
        <v>5</v>
      </c>
      <c r="R21" s="3" t="s">
        <v>76</v>
      </c>
    </row>
    <row r="22" spans="1:18" ht="45">
      <c r="A22">
        <v>21</v>
      </c>
      <c r="B22" t="s">
        <v>6</v>
      </c>
      <c r="C22" s="15">
        <v>45597.270833333336</v>
      </c>
      <c r="D22" s="16">
        <v>-5.7013099999999994</v>
      </c>
      <c r="E22" s="16">
        <v>58.479199999999999</v>
      </c>
      <c r="F22" s="16">
        <v>3.3013935999999999</v>
      </c>
      <c r="G22" s="16">
        <v>0</v>
      </c>
      <c r="H22" s="16">
        <v>5.79200000000003</v>
      </c>
      <c r="I22" s="16">
        <v>0.55458499999999999</v>
      </c>
      <c r="J22" s="17">
        <v>0</v>
      </c>
      <c r="K22" s="18">
        <v>87</v>
      </c>
      <c r="L22" s="18">
        <v>300.25</v>
      </c>
      <c r="M22" t="s">
        <v>60</v>
      </c>
      <c r="N22" s="19">
        <v>-196.74366236257708</v>
      </c>
      <c r="O22" s="19">
        <v>106.26085219624458</v>
      </c>
      <c r="P22">
        <v>1</v>
      </c>
      <c r="Q22" t="s">
        <v>7</v>
      </c>
      <c r="R22" s="3" t="s">
        <v>246</v>
      </c>
    </row>
    <row r="23" spans="1:18" ht="60">
      <c r="A23">
        <v>22</v>
      </c>
      <c r="B23" t="s">
        <v>6</v>
      </c>
      <c r="C23" s="15">
        <v>45599.75</v>
      </c>
      <c r="D23" s="16">
        <v>-11.417310000000001</v>
      </c>
      <c r="E23" s="16">
        <v>-188.14857899999998</v>
      </c>
      <c r="F23" s="16">
        <v>40.788319999999999</v>
      </c>
      <c r="G23" s="16">
        <v>0.205516</v>
      </c>
      <c r="H23" s="16">
        <v>13.273000000000025</v>
      </c>
      <c r="I23" s="16">
        <v>0.49993700000000002</v>
      </c>
      <c r="J23" s="17">
        <v>1</v>
      </c>
      <c r="K23" s="18">
        <v>93</v>
      </c>
      <c r="L23" s="18">
        <v>110.68899999999999</v>
      </c>
      <c r="M23" t="s">
        <v>60</v>
      </c>
      <c r="N23" s="19">
        <v>-188.15653462512245</v>
      </c>
      <c r="O23" s="19">
        <v>113.60363165222414</v>
      </c>
      <c r="P23">
        <v>3</v>
      </c>
      <c r="Q23" t="s">
        <v>5</v>
      </c>
      <c r="R23" s="3" t="s">
        <v>78</v>
      </c>
    </row>
    <row r="24" spans="1:18" ht="60">
      <c r="A24">
        <v>23</v>
      </c>
      <c r="B24" t="s">
        <v>6</v>
      </c>
      <c r="C24" s="15">
        <v>45599.8125</v>
      </c>
      <c r="D24" s="16">
        <v>-12.668059999999999</v>
      </c>
      <c r="E24" s="16">
        <v>-129.06399999999999</v>
      </c>
      <c r="F24" s="16">
        <v>113.59287</v>
      </c>
      <c r="G24" s="16">
        <v>0</v>
      </c>
      <c r="H24" s="16">
        <v>12.010000000000048</v>
      </c>
      <c r="I24" s="16">
        <v>0.58170500000000003</v>
      </c>
      <c r="J24" s="17">
        <v>2</v>
      </c>
      <c r="K24" s="18">
        <v>93</v>
      </c>
      <c r="L24" s="18">
        <v>120.304</v>
      </c>
      <c r="M24" t="s">
        <v>60</v>
      </c>
      <c r="N24" s="19">
        <v>-188.15213555321125</v>
      </c>
      <c r="O24" s="19">
        <v>113.60803072413533</v>
      </c>
      <c r="P24">
        <v>2</v>
      </c>
      <c r="Q24" t="s">
        <v>5</v>
      </c>
      <c r="R24" s="3" t="s">
        <v>79</v>
      </c>
    </row>
    <row r="25" spans="1:18" ht="60">
      <c r="A25">
        <v>24</v>
      </c>
      <c r="B25" t="s">
        <v>6</v>
      </c>
      <c r="C25" s="15">
        <v>45599.895833333336</v>
      </c>
      <c r="D25" s="16">
        <v>-14.986780000000001</v>
      </c>
      <c r="E25" s="16">
        <v>5.8363199999999997</v>
      </c>
      <c r="F25" s="16">
        <v>46.480649999999997</v>
      </c>
      <c r="G25" s="16">
        <v>0</v>
      </c>
      <c r="H25" s="16">
        <v>11.057000000000016</v>
      </c>
      <c r="I25" s="16">
        <v>0.51781699999999997</v>
      </c>
      <c r="J25" s="17">
        <v>2</v>
      </c>
      <c r="K25" s="18">
        <v>90</v>
      </c>
      <c r="L25" s="18">
        <v>120.545</v>
      </c>
      <c r="M25" t="s">
        <v>60</v>
      </c>
      <c r="N25" s="19">
        <v>-129.13455837286148</v>
      </c>
      <c r="O25" s="19">
        <v>113.67261429460686</v>
      </c>
      <c r="P25">
        <v>1</v>
      </c>
      <c r="Q25" t="s">
        <v>5</v>
      </c>
      <c r="R25" s="3" t="s">
        <v>80</v>
      </c>
    </row>
    <row r="26" spans="1:18" ht="60">
      <c r="A26">
        <v>25</v>
      </c>
      <c r="B26" t="s">
        <v>6</v>
      </c>
      <c r="C26" s="15">
        <v>45599.979166666664</v>
      </c>
      <c r="D26" s="16">
        <v>-11.178659999999999</v>
      </c>
      <c r="E26" s="16">
        <v>-0.80682000000000009</v>
      </c>
      <c r="F26" s="16"/>
      <c r="G26" s="16">
        <v>0</v>
      </c>
      <c r="H26" s="16">
        <v>12.408000000000015</v>
      </c>
      <c r="I26" s="16">
        <v>0.64622500000000005</v>
      </c>
      <c r="J26" s="17">
        <v>1</v>
      </c>
      <c r="K26" s="18">
        <v>92</v>
      </c>
      <c r="L26" s="18">
        <v>127.723</v>
      </c>
      <c r="M26" t="s">
        <v>60</v>
      </c>
      <c r="N26" s="19">
        <v>-69.504649050622376</v>
      </c>
      <c r="O26" s="19">
        <v>152.70071651432482</v>
      </c>
      <c r="P26">
        <v>1</v>
      </c>
      <c r="Q26" t="s">
        <v>5</v>
      </c>
      <c r="R26" s="3" t="s">
        <v>81</v>
      </c>
    </row>
    <row r="27" spans="1:18" ht="60">
      <c r="A27">
        <v>26</v>
      </c>
      <c r="B27" t="s">
        <v>6</v>
      </c>
      <c r="C27" s="15">
        <v>45600.083333333336</v>
      </c>
      <c r="D27" s="16">
        <v>-18.309570000000001</v>
      </c>
      <c r="E27" s="16">
        <v>-69.445520000000002</v>
      </c>
      <c r="F27" s="16">
        <v>65.239699999999999</v>
      </c>
      <c r="G27" s="16">
        <v>0</v>
      </c>
      <c r="H27" s="16">
        <v>10.939000000000021</v>
      </c>
      <c r="I27" s="16">
        <v>0.408161</v>
      </c>
      <c r="J27" s="17">
        <v>2</v>
      </c>
      <c r="K27" s="18">
        <v>39</v>
      </c>
      <c r="L27" s="18">
        <v>137.63300000000001</v>
      </c>
      <c r="M27" t="s">
        <v>60</v>
      </c>
      <c r="N27" s="19">
        <v>-69.499158843471989</v>
      </c>
      <c r="O27" s="19">
        <v>152.70620672147521</v>
      </c>
      <c r="P27">
        <v>2</v>
      </c>
      <c r="Q27" t="s">
        <v>5</v>
      </c>
      <c r="R27" s="3" t="s">
        <v>82</v>
      </c>
    </row>
    <row r="28" spans="1:18" ht="60">
      <c r="A28">
        <v>27</v>
      </c>
      <c r="B28" t="s">
        <v>6</v>
      </c>
      <c r="C28" s="15">
        <v>45600.958333333336</v>
      </c>
      <c r="D28" s="16">
        <v>-17.074779999999997</v>
      </c>
      <c r="E28" s="16">
        <v>2.8354910000000002</v>
      </c>
      <c r="F28" s="16"/>
      <c r="G28" s="16">
        <v>0</v>
      </c>
      <c r="H28" s="16">
        <v>16.950000000000045</v>
      </c>
      <c r="I28" s="16">
        <v>0.50517599999999996</v>
      </c>
      <c r="J28" s="17">
        <v>1</v>
      </c>
      <c r="K28" s="18">
        <v>89</v>
      </c>
      <c r="L28" s="18">
        <v>196.71299999999999</v>
      </c>
      <c r="M28" t="s">
        <v>60</v>
      </c>
      <c r="N28" s="19">
        <v>-72.750406729140494</v>
      </c>
      <c r="O28" s="19">
        <v>112.4204458382719</v>
      </c>
      <c r="P28">
        <v>1</v>
      </c>
      <c r="Q28" t="s">
        <v>5</v>
      </c>
      <c r="R28" s="3" t="s">
        <v>83</v>
      </c>
    </row>
    <row r="29" spans="1:18" ht="75">
      <c r="A29">
        <v>28</v>
      </c>
      <c r="B29" t="s">
        <v>6</v>
      </c>
      <c r="C29" s="15">
        <v>45602.229166666664</v>
      </c>
      <c r="D29" s="16">
        <v>-15.293111</v>
      </c>
      <c r="E29" s="16">
        <v>2.12209</v>
      </c>
      <c r="F29" s="16">
        <v>23.467300000000002</v>
      </c>
      <c r="G29" s="16">
        <v>0</v>
      </c>
      <c r="H29" s="16">
        <v>12.184000000000026</v>
      </c>
      <c r="I29" s="16">
        <v>0.13025700000000001</v>
      </c>
      <c r="J29" s="17">
        <v>2</v>
      </c>
      <c r="K29" s="18">
        <v>38</v>
      </c>
      <c r="L29" s="18">
        <v>228.23099999999999</v>
      </c>
      <c r="M29" t="s">
        <v>50</v>
      </c>
      <c r="N29" s="19">
        <v>-15.293111</v>
      </c>
      <c r="O29" s="19">
        <v>23.463463904310043</v>
      </c>
      <c r="P29">
        <v>1</v>
      </c>
      <c r="Q29" t="s">
        <v>5</v>
      </c>
      <c r="R29" s="3" t="s">
        <v>84</v>
      </c>
    </row>
    <row r="30" spans="1:18" ht="60">
      <c r="A30">
        <v>29</v>
      </c>
      <c r="B30" t="s">
        <v>6</v>
      </c>
      <c r="C30" s="15">
        <v>45606.270833333336</v>
      </c>
      <c r="D30" s="16">
        <v>-13.431750000000001</v>
      </c>
      <c r="E30" s="16">
        <v>-45.518099999999997</v>
      </c>
      <c r="F30" s="16">
        <v>18.317679999999999</v>
      </c>
      <c r="G30" s="16">
        <v>0</v>
      </c>
      <c r="H30" s="16">
        <v>6.5320000000000391</v>
      </c>
      <c r="I30" s="16">
        <v>0.24349499999999999</v>
      </c>
      <c r="J30" s="17">
        <v>2</v>
      </c>
      <c r="K30" s="18">
        <v>45</v>
      </c>
      <c r="L30" s="18">
        <v>111.209</v>
      </c>
      <c r="M30" t="s">
        <v>60</v>
      </c>
      <c r="N30" s="19">
        <v>-60.548303071876084</v>
      </c>
      <c r="O30" s="19">
        <v>22.120566680027387</v>
      </c>
      <c r="P30">
        <v>2</v>
      </c>
      <c r="Q30" t="s">
        <v>5</v>
      </c>
      <c r="R30" s="3" t="s">
        <v>85</v>
      </c>
    </row>
    <row r="31" spans="1:18" ht="60">
      <c r="A31">
        <v>30</v>
      </c>
      <c r="B31" t="s">
        <v>6</v>
      </c>
      <c r="C31" s="15">
        <v>45606.770833333336</v>
      </c>
      <c r="D31" s="16">
        <v>-28.889089999999999</v>
      </c>
      <c r="E31" s="16">
        <v>2.9687809999999999</v>
      </c>
      <c r="F31" s="16">
        <v>-1.64981</v>
      </c>
      <c r="G31" s="16">
        <v>1.3527999999999999E-3</v>
      </c>
      <c r="H31" s="16">
        <v>10.841000000000008</v>
      </c>
      <c r="I31" s="16">
        <v>0.623919</v>
      </c>
      <c r="J31" s="17">
        <v>2</v>
      </c>
      <c r="K31" s="18">
        <v>67</v>
      </c>
      <c r="L31" s="18">
        <v>258.48500000000001</v>
      </c>
      <c r="M31" t="s">
        <v>60</v>
      </c>
      <c r="N31" s="19">
        <v>-28.889089999999999</v>
      </c>
      <c r="O31" s="19">
        <v>18.266890272479991</v>
      </c>
      <c r="P31">
        <v>1</v>
      </c>
      <c r="Q31" t="s">
        <v>5</v>
      </c>
      <c r="R31" s="3" t="s">
        <v>86</v>
      </c>
    </row>
    <row r="32" spans="1:18" ht="60">
      <c r="A32">
        <v>31</v>
      </c>
      <c r="B32" t="s">
        <v>6</v>
      </c>
      <c r="C32" s="15">
        <v>45606.958333333336</v>
      </c>
      <c r="D32" s="16">
        <v>-16.110710000000001</v>
      </c>
      <c r="E32" s="16">
        <v>-80.168289999999999</v>
      </c>
      <c r="F32" s="16">
        <v>2.4544199999999998</v>
      </c>
      <c r="G32" s="16">
        <v>0</v>
      </c>
      <c r="H32" s="16">
        <v>10.249000000000024</v>
      </c>
      <c r="I32" s="16">
        <v>0.50392899999999996</v>
      </c>
      <c r="J32" s="17">
        <v>2</v>
      </c>
      <c r="K32" s="18">
        <v>70</v>
      </c>
      <c r="L32" s="18">
        <v>267.36200000000002</v>
      </c>
      <c r="M32" t="s">
        <v>60</v>
      </c>
      <c r="N32" s="19">
        <v>-80.160949224649968</v>
      </c>
      <c r="O32" s="19">
        <v>18.265063178984278</v>
      </c>
      <c r="P32">
        <v>2</v>
      </c>
      <c r="Q32" t="s">
        <v>5</v>
      </c>
      <c r="R32" s="3" t="s">
        <v>87</v>
      </c>
    </row>
    <row r="33" spans="1:18" ht="45">
      <c r="A33">
        <v>32</v>
      </c>
      <c r="B33" t="s">
        <v>6</v>
      </c>
      <c r="C33" s="15">
        <v>45609.916666666664</v>
      </c>
      <c r="D33" s="16">
        <v>-8.7609099999999991</v>
      </c>
      <c r="E33" s="16">
        <v>-66.304004000000006</v>
      </c>
      <c r="F33" s="16">
        <v>-90.496299999999991</v>
      </c>
      <c r="G33" s="16">
        <v>6.3855200000000005E-5</v>
      </c>
      <c r="H33" s="16">
        <v>7.4530000000000314</v>
      </c>
      <c r="I33" s="16">
        <v>0.35233100000000001</v>
      </c>
      <c r="J33" s="17">
        <v>2</v>
      </c>
      <c r="K33" s="18">
        <v>93</v>
      </c>
      <c r="L33" s="18">
        <v>116.765</v>
      </c>
      <c r="M33" t="s">
        <v>60</v>
      </c>
      <c r="N33" s="19">
        <v>-90.429239488854407</v>
      </c>
      <c r="O33" s="19">
        <v>32.192397442639013</v>
      </c>
      <c r="P33">
        <v>4</v>
      </c>
      <c r="Q33" t="s">
        <v>5</v>
      </c>
      <c r="R33" s="3" t="s">
        <v>247</v>
      </c>
    </row>
    <row r="34" spans="1:18" ht="45">
      <c r="A34">
        <v>33</v>
      </c>
      <c r="B34" t="s">
        <v>6</v>
      </c>
      <c r="C34" s="15">
        <v>45610.020833333336</v>
      </c>
      <c r="D34" s="16">
        <v>-7.4074200000000001</v>
      </c>
      <c r="E34" s="16"/>
      <c r="F34" s="16">
        <v>-61.224139999999998</v>
      </c>
      <c r="G34" s="16">
        <v>3.20756E-4</v>
      </c>
      <c r="H34" s="16">
        <v>5.7309999999999945</v>
      </c>
      <c r="I34" s="16">
        <v>0.23815</v>
      </c>
      <c r="J34" s="17">
        <v>1</v>
      </c>
      <c r="K34" s="18">
        <v>48</v>
      </c>
      <c r="L34" s="18">
        <v>105.169</v>
      </c>
      <c r="M34" t="s">
        <v>60</v>
      </c>
      <c r="N34" s="19">
        <v>-90.374035502686112</v>
      </c>
      <c r="O34" s="19">
        <v>126.5728743433705</v>
      </c>
      <c r="P34">
        <v>2</v>
      </c>
      <c r="Q34" t="s">
        <v>5</v>
      </c>
      <c r="R34" s="3" t="s">
        <v>248</v>
      </c>
    </row>
    <row r="35" spans="1:18" ht="60">
      <c r="A35">
        <v>34</v>
      </c>
      <c r="B35" t="s">
        <v>6</v>
      </c>
      <c r="C35" s="15">
        <v>45610.145833333336</v>
      </c>
      <c r="D35" s="16">
        <v>-15.888199999999999</v>
      </c>
      <c r="E35" s="16"/>
      <c r="F35" s="16">
        <v>26.35772</v>
      </c>
      <c r="G35" s="16">
        <v>0</v>
      </c>
      <c r="H35" s="16">
        <v>5.5940000000000509</v>
      </c>
      <c r="I35" s="16">
        <v>0.27126699999999998</v>
      </c>
      <c r="J35" s="17">
        <v>2</v>
      </c>
      <c r="K35" s="18">
        <v>38</v>
      </c>
      <c r="L35" s="18">
        <v>101.864</v>
      </c>
      <c r="M35" t="s">
        <v>60</v>
      </c>
      <c r="N35" s="19">
        <v>-571.07681892583128</v>
      </c>
      <c r="O35" s="19">
        <v>127.247843943269</v>
      </c>
      <c r="P35">
        <v>1</v>
      </c>
      <c r="Q35" t="s">
        <v>5</v>
      </c>
      <c r="R35" s="3" t="s">
        <v>90</v>
      </c>
    </row>
    <row r="36" spans="1:18" ht="45">
      <c r="A36">
        <v>35</v>
      </c>
      <c r="B36" t="s">
        <v>6</v>
      </c>
      <c r="C36" s="15">
        <v>45610.25</v>
      </c>
      <c r="D36" s="16">
        <v>-7.1871299999999998</v>
      </c>
      <c r="E36" s="16">
        <v>-569.24157000000002</v>
      </c>
      <c r="F36" s="16">
        <v>-29.388599999999997</v>
      </c>
      <c r="G36" s="16">
        <v>0</v>
      </c>
      <c r="H36" s="16">
        <v>5.563000000000045</v>
      </c>
      <c r="I36" s="16">
        <v>0.28761300000000001</v>
      </c>
      <c r="J36" s="17">
        <v>0</v>
      </c>
      <c r="K36" s="18">
        <v>48</v>
      </c>
      <c r="L36" s="18">
        <v>102.866</v>
      </c>
      <c r="M36" t="s">
        <v>60</v>
      </c>
      <c r="N36" s="19">
        <v>-568.202561565613</v>
      </c>
      <c r="O36" s="19">
        <v>123.56789389589451</v>
      </c>
      <c r="P36">
        <v>5</v>
      </c>
      <c r="Q36" t="s">
        <v>7</v>
      </c>
      <c r="R36" s="3" t="s">
        <v>249</v>
      </c>
    </row>
    <row r="37" spans="1:18" ht="60">
      <c r="A37">
        <v>36</v>
      </c>
      <c r="B37" t="s">
        <v>6</v>
      </c>
      <c r="C37" s="15">
        <v>45610.270833333336</v>
      </c>
      <c r="D37" s="16">
        <v>-29.388599999999997</v>
      </c>
      <c r="E37" s="16">
        <v>-7.1871299999999998</v>
      </c>
      <c r="F37" s="16">
        <v>-363.28830599999998</v>
      </c>
      <c r="G37" s="16">
        <v>0</v>
      </c>
      <c r="H37" s="16">
        <v>5.6030000000000086</v>
      </c>
      <c r="I37" s="16">
        <v>0.86158100000000004</v>
      </c>
      <c r="J37" s="17">
        <v>1</v>
      </c>
      <c r="K37" s="18">
        <v>46</v>
      </c>
      <c r="L37" s="18">
        <v>105.14700000000001</v>
      </c>
      <c r="M37" t="s">
        <v>60</v>
      </c>
      <c r="N37" s="19">
        <v>-568.25771959463361</v>
      </c>
      <c r="O37" s="19">
        <v>123.51273586687397</v>
      </c>
      <c r="P37">
        <v>5</v>
      </c>
      <c r="Q37" t="s">
        <v>5</v>
      </c>
      <c r="R37" s="3" t="s">
        <v>92</v>
      </c>
    </row>
    <row r="38" spans="1:18" ht="45">
      <c r="A38">
        <v>37</v>
      </c>
      <c r="B38" t="s">
        <v>6</v>
      </c>
      <c r="C38" s="15">
        <v>45610.354166666664</v>
      </c>
      <c r="D38" s="16">
        <v>-8.7134</v>
      </c>
      <c r="E38" s="16">
        <v>107.23259999999999</v>
      </c>
      <c r="F38" s="16">
        <v>28.230969999999999</v>
      </c>
      <c r="G38" s="16">
        <v>8.72105</v>
      </c>
      <c r="H38" s="16">
        <v>5.8440000000000509</v>
      </c>
      <c r="I38" s="16">
        <v>0.30863299999999999</v>
      </c>
      <c r="J38" s="17">
        <v>1</v>
      </c>
      <c r="K38" s="18">
        <v>40</v>
      </c>
      <c r="L38" s="18">
        <v>100.52</v>
      </c>
      <c r="M38" t="s">
        <v>60</v>
      </c>
      <c r="N38" s="19">
        <v>-566.13920356142899</v>
      </c>
      <c r="O38" s="19">
        <v>106.61124441706798</v>
      </c>
      <c r="P38">
        <v>1</v>
      </c>
      <c r="Q38" t="s">
        <v>7</v>
      </c>
      <c r="R38" s="3" t="s">
        <v>250</v>
      </c>
    </row>
    <row r="39" spans="1:18" ht="75">
      <c r="A39">
        <v>38</v>
      </c>
      <c r="B39" t="s">
        <v>6</v>
      </c>
      <c r="C39" s="15">
        <v>45613.916666666664</v>
      </c>
      <c r="D39" s="16">
        <v>-19.43299</v>
      </c>
      <c r="E39" s="16">
        <v>1.0198899999999997</v>
      </c>
      <c r="F39" s="16">
        <v>29.396419999999999</v>
      </c>
      <c r="G39" s="16">
        <v>5.3475799999999998E-4</v>
      </c>
      <c r="H39" s="16">
        <v>9.4940000000000282</v>
      </c>
      <c r="I39" s="16">
        <v>0.188028</v>
      </c>
      <c r="J39" s="17">
        <v>2</v>
      </c>
      <c r="K39" s="18">
        <v>43</v>
      </c>
      <c r="L39" s="18">
        <v>247.291</v>
      </c>
      <c r="M39" t="s">
        <v>50</v>
      </c>
      <c r="N39" s="19">
        <v>-19.43299</v>
      </c>
      <c r="O39" s="19">
        <v>43.889615171127915</v>
      </c>
      <c r="P39">
        <v>1</v>
      </c>
      <c r="Q39" t="s">
        <v>5</v>
      </c>
      <c r="R39" s="3" t="s">
        <v>94</v>
      </c>
    </row>
    <row r="40" spans="1:18" ht="60">
      <c r="A40">
        <v>39</v>
      </c>
      <c r="B40" t="s">
        <v>6</v>
      </c>
      <c r="C40" s="15">
        <v>45615.333333333336</v>
      </c>
      <c r="D40" s="16">
        <v>-16.723549999999999</v>
      </c>
      <c r="E40" s="16">
        <v>32.094459999999998</v>
      </c>
      <c r="F40" s="16">
        <v>-0.51107800000000003</v>
      </c>
      <c r="G40" s="16">
        <v>0.55011900000000002</v>
      </c>
      <c r="H40" s="16">
        <v>10.691000000000031</v>
      </c>
      <c r="I40" s="16">
        <v>0.50210100000000002</v>
      </c>
      <c r="J40" s="17">
        <v>0</v>
      </c>
      <c r="K40" s="18">
        <v>93</v>
      </c>
      <c r="L40" s="18">
        <v>117.339</v>
      </c>
      <c r="M40" t="s">
        <v>60</v>
      </c>
      <c r="N40" s="19">
        <v>-345.23137109862256</v>
      </c>
      <c r="O40" s="19">
        <v>55.461604921121975</v>
      </c>
      <c r="P40">
        <v>1</v>
      </c>
      <c r="Q40" t="s">
        <v>5</v>
      </c>
      <c r="R40" s="3" t="s">
        <v>95</v>
      </c>
    </row>
    <row r="41" spans="1:18" ht="60">
      <c r="A41">
        <v>40</v>
      </c>
      <c r="B41" t="s">
        <v>6</v>
      </c>
      <c r="C41" s="15">
        <v>45615.375</v>
      </c>
      <c r="D41" s="16">
        <v>-13.015510000000001</v>
      </c>
      <c r="E41" s="16">
        <v>-0.51107800000000003</v>
      </c>
      <c r="F41" s="16">
        <v>2.1045300000000005</v>
      </c>
      <c r="G41" s="16">
        <v>6.5822399999999996</v>
      </c>
      <c r="H41" s="16">
        <v>11.072000000000003</v>
      </c>
      <c r="I41" s="16">
        <v>0.53245500000000001</v>
      </c>
      <c r="J41" s="17">
        <v>1</v>
      </c>
      <c r="K41" s="18">
        <v>83</v>
      </c>
      <c r="L41" s="18">
        <v>122.39400000000001</v>
      </c>
      <c r="M41" t="s">
        <v>60</v>
      </c>
      <c r="N41" s="19">
        <v>-81.761286606784907</v>
      </c>
      <c r="O41" s="19">
        <v>32.100707356072924</v>
      </c>
      <c r="P41">
        <v>1</v>
      </c>
      <c r="Q41" t="s">
        <v>5</v>
      </c>
      <c r="R41" s="3" t="s">
        <v>96</v>
      </c>
    </row>
    <row r="42" spans="1:18" ht="60">
      <c r="A42">
        <v>41</v>
      </c>
      <c r="B42" t="s">
        <v>6</v>
      </c>
      <c r="C42" s="15">
        <v>45616.833333333336</v>
      </c>
      <c r="D42" s="16">
        <v>-6.1883879999999998</v>
      </c>
      <c r="E42" s="16">
        <v>1.7130226899999998</v>
      </c>
      <c r="F42" s="16">
        <v>-6.3846999999999987</v>
      </c>
      <c r="G42" s="16">
        <v>0</v>
      </c>
      <c r="H42" s="16">
        <v>3.4740000000000464</v>
      </c>
      <c r="I42" s="16">
        <v>0.68422300000000003</v>
      </c>
      <c r="J42" s="17">
        <v>2</v>
      </c>
      <c r="K42" s="18">
        <v>99</v>
      </c>
      <c r="L42" s="18">
        <v>265.58800000000002</v>
      </c>
      <c r="M42" t="s">
        <v>55</v>
      </c>
      <c r="N42" s="19">
        <v>-23.995912007275216</v>
      </c>
      <c r="O42" s="19">
        <v>13.743422542782739</v>
      </c>
      <c r="P42">
        <v>2</v>
      </c>
      <c r="Q42" t="s">
        <v>7</v>
      </c>
      <c r="R42" s="3" t="s">
        <v>97</v>
      </c>
    </row>
    <row r="43" spans="1:18" ht="60">
      <c r="A43">
        <v>42</v>
      </c>
      <c r="B43" t="s">
        <v>6</v>
      </c>
      <c r="C43" s="15">
        <v>45616.854166666664</v>
      </c>
      <c r="D43" s="16">
        <v>-6.3846999999999987</v>
      </c>
      <c r="E43" s="16">
        <v>-6.1883879999999998</v>
      </c>
      <c r="F43" s="16">
        <v>5.9495579999999997</v>
      </c>
      <c r="G43" s="16">
        <v>0</v>
      </c>
      <c r="H43" s="16">
        <v>2.6240000000000236</v>
      </c>
      <c r="I43" s="16">
        <v>0.40721000000000002</v>
      </c>
      <c r="J43" s="17">
        <v>1</v>
      </c>
      <c r="K43" s="18">
        <v>89</v>
      </c>
      <c r="L43" s="18">
        <v>261.51400000000001</v>
      </c>
      <c r="M43" t="s">
        <v>55</v>
      </c>
      <c r="N43" s="19">
        <v>-23.995363565170678</v>
      </c>
      <c r="O43" s="19">
        <v>13.743970984887277</v>
      </c>
      <c r="P43">
        <v>2</v>
      </c>
      <c r="Q43" t="s">
        <v>7</v>
      </c>
      <c r="R43" s="3" t="s">
        <v>98</v>
      </c>
    </row>
    <row r="44" spans="1:18" ht="60">
      <c r="A44">
        <v>43</v>
      </c>
      <c r="B44" t="s">
        <v>6</v>
      </c>
      <c r="C44" s="15">
        <v>45616.9375</v>
      </c>
      <c r="D44" s="16">
        <v>-23.99447</v>
      </c>
      <c r="E44" s="16">
        <v>1.515458</v>
      </c>
      <c r="F44" s="16">
        <v>-3.6596990000000003</v>
      </c>
      <c r="G44" s="16">
        <v>0</v>
      </c>
      <c r="H44" s="16">
        <v>0.78600000000000136</v>
      </c>
      <c r="I44" s="16">
        <v>0.41142899999999999</v>
      </c>
      <c r="J44" s="17">
        <v>1</v>
      </c>
      <c r="K44" s="18">
        <v>22</v>
      </c>
      <c r="L44" s="18">
        <v>250.541</v>
      </c>
      <c r="M44" t="s">
        <v>50</v>
      </c>
      <c r="N44" s="19">
        <v>-23.99447</v>
      </c>
      <c r="O44" s="19">
        <v>13.744860623450952</v>
      </c>
      <c r="P44">
        <v>1</v>
      </c>
      <c r="Q44" t="s">
        <v>5</v>
      </c>
      <c r="R44" s="3" t="s">
        <v>99</v>
      </c>
    </row>
    <row r="45" spans="1:18" ht="60">
      <c r="A45">
        <v>44</v>
      </c>
      <c r="B45" t="s">
        <v>6</v>
      </c>
      <c r="C45" s="15">
        <v>45617.083333333336</v>
      </c>
      <c r="D45" s="16">
        <v>-12.265180000000001</v>
      </c>
      <c r="E45" s="16">
        <v>4.5422200000000004</v>
      </c>
      <c r="F45" s="16">
        <v>-1.4533849999999999</v>
      </c>
      <c r="G45" s="16">
        <v>0</v>
      </c>
      <c r="H45" s="16">
        <v>0.67900000000003047</v>
      </c>
      <c r="I45" s="16">
        <v>0.37445800000000001</v>
      </c>
      <c r="J45" s="17">
        <v>2</v>
      </c>
      <c r="K45" s="18">
        <v>79</v>
      </c>
      <c r="L45" s="18">
        <v>255.00200000000001</v>
      </c>
      <c r="M45" t="s">
        <v>60</v>
      </c>
      <c r="N45" s="19">
        <v>-48.220545369134094</v>
      </c>
      <c r="O45" s="19">
        <v>25.327589446918701</v>
      </c>
      <c r="P45">
        <v>1</v>
      </c>
      <c r="Q45" t="s">
        <v>5</v>
      </c>
      <c r="R45" s="3" t="s">
        <v>100</v>
      </c>
    </row>
    <row r="46" spans="1:18" ht="75">
      <c r="A46">
        <v>45</v>
      </c>
      <c r="B46" t="s">
        <v>6</v>
      </c>
      <c r="C46" s="15">
        <v>45617.791666666664</v>
      </c>
      <c r="D46" s="16">
        <v>-8.6143000000000001</v>
      </c>
      <c r="E46" s="16">
        <v>-0.17405800000000002</v>
      </c>
      <c r="F46" s="16">
        <v>-3.4065699999999999</v>
      </c>
      <c r="G46" s="16">
        <v>5.91709E-5</v>
      </c>
      <c r="H46" s="16">
        <v>0.59100000000000819</v>
      </c>
      <c r="I46" s="16">
        <v>0.11169999999999999</v>
      </c>
      <c r="J46" s="17">
        <v>1</v>
      </c>
      <c r="K46" s="18">
        <v>91</v>
      </c>
      <c r="L46" s="18">
        <v>257.99</v>
      </c>
      <c r="M46" t="s">
        <v>50</v>
      </c>
      <c r="N46" s="19">
        <v>-8.6143000000000001</v>
      </c>
      <c r="O46" s="19">
        <v>3.6663066410879814</v>
      </c>
      <c r="P46">
        <v>1</v>
      </c>
      <c r="Q46" t="s">
        <v>7</v>
      </c>
      <c r="R46" s="3" t="s">
        <v>101</v>
      </c>
    </row>
    <row r="47" spans="1:18" ht="60">
      <c r="A47">
        <v>46</v>
      </c>
      <c r="B47" t="s">
        <v>6</v>
      </c>
      <c r="C47" s="15">
        <v>45619.020833333336</v>
      </c>
      <c r="D47" s="16">
        <v>-12.34033</v>
      </c>
      <c r="E47" s="16">
        <v>-53.288220000000003</v>
      </c>
      <c r="F47" s="16">
        <v>49.132069000000001</v>
      </c>
      <c r="G47" s="16">
        <v>0</v>
      </c>
      <c r="H47" s="16">
        <v>5.2750000000000341</v>
      </c>
      <c r="I47" s="16">
        <v>0.88521700000000003</v>
      </c>
      <c r="J47" s="17">
        <v>2</v>
      </c>
      <c r="K47" s="18">
        <v>33</v>
      </c>
      <c r="L47" s="18">
        <v>309.04000000000002</v>
      </c>
      <c r="M47" t="s">
        <v>60</v>
      </c>
      <c r="N47" s="19">
        <v>-98.262427323165113</v>
      </c>
      <c r="O47" s="19">
        <v>55.463357045756993</v>
      </c>
      <c r="P47">
        <v>2</v>
      </c>
      <c r="Q47" t="s">
        <v>5</v>
      </c>
      <c r="R47" s="3" t="s">
        <v>102</v>
      </c>
    </row>
    <row r="48" spans="1:18" ht="60">
      <c r="A48">
        <v>47</v>
      </c>
      <c r="B48" t="s">
        <v>6</v>
      </c>
      <c r="C48" s="15">
        <v>45621.8125</v>
      </c>
      <c r="D48" s="16">
        <v>-24.889165000000002</v>
      </c>
      <c r="E48" s="16">
        <v>-3.2923200000000001</v>
      </c>
      <c r="F48" s="16">
        <v>6.8961199999999998</v>
      </c>
      <c r="G48" s="16">
        <v>0</v>
      </c>
      <c r="H48" s="16">
        <v>6.0120000000000005</v>
      </c>
      <c r="I48" s="16">
        <v>0.475213</v>
      </c>
      <c r="J48" s="17">
        <v>2</v>
      </c>
      <c r="K48" s="18">
        <v>90</v>
      </c>
      <c r="L48" s="18">
        <v>281.815</v>
      </c>
      <c r="M48" t="s">
        <v>50</v>
      </c>
      <c r="N48" s="19">
        <v>-24.889165000000002</v>
      </c>
      <c r="O48" s="19">
        <v>31.516597892503</v>
      </c>
      <c r="P48">
        <v>1</v>
      </c>
      <c r="Q48" t="s">
        <v>5</v>
      </c>
      <c r="R48" s="3" t="s">
        <v>103</v>
      </c>
    </row>
    <row r="49" spans="1:18" ht="60">
      <c r="A49">
        <v>48</v>
      </c>
      <c r="B49" t="s">
        <v>6</v>
      </c>
      <c r="C49" s="15">
        <v>45621.895833333336</v>
      </c>
      <c r="D49" s="16">
        <v>-21.260449999999999</v>
      </c>
      <c r="E49" s="16">
        <v>-4.2023859999999997</v>
      </c>
      <c r="F49" s="16">
        <v>3.9761408</v>
      </c>
      <c r="G49" s="16">
        <v>0</v>
      </c>
      <c r="H49" s="16">
        <v>4.3460000000000036</v>
      </c>
      <c r="I49" s="16">
        <v>0.48576799999999998</v>
      </c>
      <c r="J49" s="17">
        <v>2</v>
      </c>
      <c r="K49" s="18">
        <v>84</v>
      </c>
      <c r="L49" s="18">
        <v>287.815</v>
      </c>
      <c r="M49" t="s">
        <v>50</v>
      </c>
      <c r="N49" s="19">
        <v>-24.889301083608775</v>
      </c>
      <c r="O49" s="19">
        <v>31.516467677659254</v>
      </c>
      <c r="P49">
        <v>1</v>
      </c>
      <c r="Q49" t="s">
        <v>5</v>
      </c>
      <c r="R49" s="3" t="s">
        <v>104</v>
      </c>
    </row>
    <row r="50" spans="1:18" ht="60">
      <c r="A50">
        <v>49</v>
      </c>
      <c r="B50" t="s">
        <v>6</v>
      </c>
      <c r="C50" s="15">
        <v>45621.979166666664</v>
      </c>
      <c r="D50" s="16">
        <v>-14.18145</v>
      </c>
      <c r="E50" s="16">
        <v>3.6505000000000001</v>
      </c>
      <c r="F50" s="16">
        <v>4.9485099999999997</v>
      </c>
      <c r="G50" s="16">
        <v>0</v>
      </c>
      <c r="H50" s="16">
        <v>3.5830000000000268</v>
      </c>
      <c r="I50" s="16">
        <v>0.64917000000000002</v>
      </c>
      <c r="J50" s="17">
        <v>2</v>
      </c>
      <c r="K50" s="18">
        <v>58</v>
      </c>
      <c r="L50" s="18">
        <v>286.089</v>
      </c>
      <c r="M50" t="s">
        <v>50</v>
      </c>
      <c r="N50" s="19">
        <v>-21.257320320070086</v>
      </c>
      <c r="O50" s="19">
        <v>15.224011582024694</v>
      </c>
      <c r="P50">
        <v>1</v>
      </c>
      <c r="Q50" t="s">
        <v>5</v>
      </c>
      <c r="R50" s="3" t="s">
        <v>105</v>
      </c>
    </row>
    <row r="51" spans="1:18" ht="45">
      <c r="A51">
        <v>50</v>
      </c>
      <c r="B51" t="s">
        <v>6</v>
      </c>
      <c r="C51" s="15">
        <v>45622.104166666664</v>
      </c>
      <c r="D51" s="16">
        <v>-10.439969999999999</v>
      </c>
      <c r="E51" s="16">
        <v>15.232597999999999</v>
      </c>
      <c r="F51" s="16">
        <v>-0.38710000000000111</v>
      </c>
      <c r="G51" s="16">
        <v>0</v>
      </c>
      <c r="H51" s="16">
        <v>2.9410000000000309</v>
      </c>
      <c r="I51" s="16">
        <v>0.61536999999999997</v>
      </c>
      <c r="J51" s="17">
        <v>2</v>
      </c>
      <c r="K51" s="18">
        <v>54</v>
      </c>
      <c r="L51" s="18">
        <v>277.62900000000002</v>
      </c>
      <c r="M51" t="s">
        <v>50</v>
      </c>
      <c r="N51" s="19">
        <v>-14.180718380025532</v>
      </c>
      <c r="O51" s="19">
        <v>21.994628800375786</v>
      </c>
      <c r="P51">
        <v>1</v>
      </c>
      <c r="Q51" t="s">
        <v>5</v>
      </c>
      <c r="R51" s="3" t="s">
        <v>251</v>
      </c>
    </row>
    <row r="52" spans="1:18" ht="45">
      <c r="A52">
        <v>51</v>
      </c>
      <c r="B52" t="s">
        <v>6</v>
      </c>
      <c r="C52" s="15">
        <v>45641.333333333336</v>
      </c>
      <c r="D52" s="16">
        <v>-7.6464999999999996</v>
      </c>
      <c r="E52" s="16">
        <v>-35.88364</v>
      </c>
      <c r="F52" s="16">
        <v>115.18443000000001</v>
      </c>
      <c r="G52" s="16">
        <v>6.7472199999999996E-2</v>
      </c>
      <c r="H52" s="16">
        <v>0.79099999999999682</v>
      </c>
      <c r="I52" s="16">
        <v>0.33301799999999998</v>
      </c>
      <c r="J52" s="17">
        <v>2</v>
      </c>
      <c r="K52" s="18">
        <v>48</v>
      </c>
      <c r="L52" s="18">
        <v>110.902</v>
      </c>
      <c r="M52" t="s">
        <v>60</v>
      </c>
      <c r="N52" s="19">
        <v>-35.904215903728172</v>
      </c>
      <c r="O52" s="19">
        <v>115.28631422054428</v>
      </c>
      <c r="P52">
        <v>2</v>
      </c>
      <c r="Q52" t="s">
        <v>5</v>
      </c>
      <c r="R52" s="3" t="s">
        <v>252</v>
      </c>
    </row>
    <row r="53" spans="1:18" ht="60">
      <c r="A53">
        <v>52</v>
      </c>
      <c r="B53" t="s">
        <v>6</v>
      </c>
      <c r="C53" s="15">
        <v>45642.729166666664</v>
      </c>
      <c r="D53" s="16">
        <v>-7.4310499999999999</v>
      </c>
      <c r="E53" s="16">
        <v>14.3847</v>
      </c>
      <c r="F53" s="16">
        <v>2.6117749999999997</v>
      </c>
      <c r="G53" s="16">
        <v>0.44284099999999998</v>
      </c>
      <c r="H53" s="16">
        <v>7.9330000000000496</v>
      </c>
      <c r="I53" s="16">
        <v>0.61266900000000002</v>
      </c>
      <c r="J53" s="17">
        <v>1</v>
      </c>
      <c r="K53" s="18">
        <v>41</v>
      </c>
      <c r="L53" s="18">
        <v>257.39100000000002</v>
      </c>
      <c r="M53" t="s">
        <v>50</v>
      </c>
      <c r="N53" s="19">
        <v>-14.222794616194005</v>
      </c>
      <c r="O53" s="19">
        <v>29.977033940833778</v>
      </c>
      <c r="P53">
        <v>1</v>
      </c>
      <c r="Q53" t="s">
        <v>7</v>
      </c>
      <c r="R53" s="3" t="s">
        <v>108</v>
      </c>
    </row>
    <row r="54" spans="1:18" ht="60">
      <c r="A54">
        <v>53</v>
      </c>
      <c r="B54" t="s">
        <v>6</v>
      </c>
      <c r="C54" s="15">
        <v>45642.770833333336</v>
      </c>
      <c r="D54" s="16">
        <v>-14.22325</v>
      </c>
      <c r="E54" s="16">
        <v>2.6117749999999997</v>
      </c>
      <c r="F54" s="16">
        <v>14.91703</v>
      </c>
      <c r="G54" s="16">
        <v>0</v>
      </c>
      <c r="H54" s="16">
        <v>6.8950000000000387</v>
      </c>
      <c r="I54" s="16">
        <v>0.53567799999999999</v>
      </c>
      <c r="J54" s="17">
        <v>1</v>
      </c>
      <c r="K54" s="18">
        <v>36</v>
      </c>
      <c r="L54" s="18">
        <v>258.88600000000002</v>
      </c>
      <c r="M54" t="s">
        <v>50</v>
      </c>
      <c r="N54" s="19">
        <v>-14.22325</v>
      </c>
      <c r="O54" s="19">
        <v>29.976573958235608</v>
      </c>
      <c r="P54">
        <v>1</v>
      </c>
      <c r="Q54" t="s">
        <v>5</v>
      </c>
      <c r="R54" s="3" t="s">
        <v>109</v>
      </c>
    </row>
    <row r="55" spans="1:18" ht="60">
      <c r="A55">
        <v>54</v>
      </c>
      <c r="B55" t="s">
        <v>6</v>
      </c>
      <c r="C55" s="15">
        <v>45645.895833333336</v>
      </c>
      <c r="D55" s="16">
        <v>-7.5575799999999997</v>
      </c>
      <c r="E55" s="16">
        <v>0.81329780000000007</v>
      </c>
      <c r="F55" s="16">
        <v>-0.69003800000000004</v>
      </c>
      <c r="G55" s="16">
        <v>3.9200799999999999E-5</v>
      </c>
      <c r="H55" s="16">
        <v>-3.7849999999999682</v>
      </c>
      <c r="I55" s="16">
        <v>0.27078799999999997</v>
      </c>
      <c r="J55" s="17">
        <v>1</v>
      </c>
      <c r="K55" s="18">
        <v>98</v>
      </c>
      <c r="L55" s="18">
        <v>90.120400000000004</v>
      </c>
      <c r="M55" t="s">
        <v>50</v>
      </c>
      <c r="N55" s="19">
        <v>-7.5575799999999997</v>
      </c>
      <c r="O55" s="19">
        <v>1.9716571836106953</v>
      </c>
      <c r="P55">
        <v>1</v>
      </c>
      <c r="Q55" t="s">
        <v>7</v>
      </c>
      <c r="R55" s="3" t="s">
        <v>110</v>
      </c>
    </row>
    <row r="56" spans="1:18" ht="60">
      <c r="A56">
        <v>55</v>
      </c>
      <c r="B56" t="s">
        <v>6</v>
      </c>
      <c r="C56" s="15">
        <v>45652.291666666664</v>
      </c>
      <c r="D56" s="16">
        <v>-7.8862760000000005</v>
      </c>
      <c r="E56" s="16">
        <v>6.1093720000000005</v>
      </c>
      <c r="F56" s="16">
        <v>-4.9296000000000006E-2</v>
      </c>
      <c r="G56" s="16">
        <v>0</v>
      </c>
      <c r="H56" s="16">
        <v>0.54800000000000182</v>
      </c>
      <c r="I56" s="16">
        <v>0.26046900000000001</v>
      </c>
      <c r="J56" s="17">
        <v>2</v>
      </c>
      <c r="K56" s="18">
        <v>81</v>
      </c>
      <c r="L56" s="18">
        <v>119.854</v>
      </c>
      <c r="M56" t="s">
        <v>50</v>
      </c>
      <c r="N56" s="19">
        <v>-7.8862760000000005</v>
      </c>
      <c r="O56" s="19">
        <v>6.1075217674408835</v>
      </c>
      <c r="P56">
        <v>1</v>
      </c>
      <c r="Q56" t="s">
        <v>7</v>
      </c>
      <c r="R56" s="3" t="s">
        <v>111</v>
      </c>
    </row>
    <row r="57" spans="1:18" ht="45">
      <c r="A57">
        <v>56</v>
      </c>
      <c r="B57" t="s">
        <v>6</v>
      </c>
      <c r="C57" s="15">
        <v>45653.0625</v>
      </c>
      <c r="D57" s="16">
        <v>-8.0867799999999992</v>
      </c>
      <c r="E57" s="16">
        <v>1.5066599999999999</v>
      </c>
      <c r="F57" s="16">
        <v>-31.378156000000001</v>
      </c>
      <c r="G57" s="16">
        <v>0</v>
      </c>
      <c r="H57" s="16">
        <v>4.9700000000000273</v>
      </c>
      <c r="I57" s="16">
        <v>0.39716600000000002</v>
      </c>
      <c r="J57" s="17">
        <v>2</v>
      </c>
      <c r="K57" s="18">
        <v>13</v>
      </c>
      <c r="L57" s="18">
        <v>139.70099999999999</v>
      </c>
      <c r="M57" t="s">
        <v>55</v>
      </c>
      <c r="N57" s="19">
        <v>-31.372910490788527</v>
      </c>
      <c r="O57" s="19">
        <v>20.558764259148795</v>
      </c>
      <c r="P57">
        <v>2</v>
      </c>
      <c r="Q57" t="s">
        <v>5</v>
      </c>
      <c r="R57" s="3" t="s">
        <v>253</v>
      </c>
    </row>
    <row r="58" spans="1:18" ht="45">
      <c r="A58">
        <v>57</v>
      </c>
      <c r="B58" t="s">
        <v>6</v>
      </c>
      <c r="C58" s="15">
        <v>45653.208333333336</v>
      </c>
      <c r="D58" s="16">
        <v>-10.270020000000001</v>
      </c>
      <c r="E58" s="16">
        <v>17.81776</v>
      </c>
      <c r="F58" s="16">
        <v>-1.2382700000000002</v>
      </c>
      <c r="G58" s="16">
        <v>0</v>
      </c>
      <c r="H58" s="16">
        <v>4.4600000000000364</v>
      </c>
      <c r="I58" s="16">
        <v>0.36480499999999999</v>
      </c>
      <c r="J58" s="17">
        <v>2</v>
      </c>
      <c r="K58" s="18">
        <v>44</v>
      </c>
      <c r="L58" s="18">
        <v>122.88800000000001</v>
      </c>
      <c r="M58" t="s">
        <v>50</v>
      </c>
      <c r="N58" s="19">
        <v>-31.371625498484356</v>
      </c>
      <c r="O58" s="19">
        <v>17.808442495727334</v>
      </c>
      <c r="P58">
        <v>1</v>
      </c>
      <c r="Q58" t="s">
        <v>5</v>
      </c>
      <c r="R58" s="3" t="s">
        <v>254</v>
      </c>
    </row>
    <row r="59" spans="1:18" ht="60">
      <c r="A59">
        <v>58</v>
      </c>
      <c r="B59" t="s">
        <v>6</v>
      </c>
      <c r="C59" s="15">
        <v>45653.729166666664</v>
      </c>
      <c r="D59" s="16">
        <v>-11.489509999999999</v>
      </c>
      <c r="E59" s="16">
        <v>-0.67380200000000001</v>
      </c>
      <c r="F59" s="16">
        <v>49.597200000000001</v>
      </c>
      <c r="G59" s="16">
        <v>0.70736500000000002</v>
      </c>
      <c r="H59" s="16">
        <v>6.2200000000000273</v>
      </c>
      <c r="I59" s="16">
        <v>0.33984500000000001</v>
      </c>
      <c r="J59" s="17">
        <v>2</v>
      </c>
      <c r="K59" s="18">
        <v>59</v>
      </c>
      <c r="L59" s="18">
        <v>106.041</v>
      </c>
      <c r="M59" t="s">
        <v>60</v>
      </c>
      <c r="N59" s="19">
        <v>-64.234065173296187</v>
      </c>
      <c r="O59" s="19">
        <v>49.62846835337826</v>
      </c>
      <c r="P59">
        <v>1</v>
      </c>
      <c r="Q59" t="s">
        <v>5</v>
      </c>
      <c r="R59" s="3" t="s">
        <v>114</v>
      </c>
    </row>
    <row r="60" spans="1:18" ht="45">
      <c r="A60">
        <v>59</v>
      </c>
      <c r="B60" t="s">
        <v>6</v>
      </c>
      <c r="C60" s="15">
        <v>45653.770833333336</v>
      </c>
      <c r="D60" s="16">
        <v>-8.86111</v>
      </c>
      <c r="E60" s="16">
        <v>49.597200000000001</v>
      </c>
      <c r="F60" s="16">
        <v>-13.669500000000001</v>
      </c>
      <c r="G60" s="16">
        <v>0</v>
      </c>
      <c r="H60" s="16">
        <v>6.2830000000000155</v>
      </c>
      <c r="I60" s="16">
        <v>0.34029799999999999</v>
      </c>
      <c r="J60" s="17">
        <v>0</v>
      </c>
      <c r="K60" s="18">
        <v>17</v>
      </c>
      <c r="L60" s="18">
        <v>109.197</v>
      </c>
      <c r="M60" t="s">
        <v>60</v>
      </c>
      <c r="N60" s="19">
        <v>-64.23376550216561</v>
      </c>
      <c r="O60" s="19">
        <v>49.62876802450883</v>
      </c>
      <c r="P60">
        <v>3</v>
      </c>
      <c r="Q60" t="s">
        <v>7</v>
      </c>
      <c r="R60" s="3" t="s">
        <v>255</v>
      </c>
    </row>
    <row r="61" spans="1:18" ht="60">
      <c r="A61">
        <v>60</v>
      </c>
      <c r="B61" t="s">
        <v>6</v>
      </c>
      <c r="C61" s="15">
        <v>45653.791666666664</v>
      </c>
      <c r="D61" s="16">
        <v>-13.669500000000001</v>
      </c>
      <c r="E61" s="16">
        <v>-8.86111</v>
      </c>
      <c r="F61" s="16">
        <v>-64.206220000000002</v>
      </c>
      <c r="G61" s="16">
        <v>0</v>
      </c>
      <c r="H61" s="16">
        <v>6.2350000000000136</v>
      </c>
      <c r="I61" s="16">
        <v>0.35647800000000002</v>
      </c>
      <c r="J61" s="17">
        <v>2</v>
      </c>
      <c r="K61" s="18">
        <v>16</v>
      </c>
      <c r="L61" s="18">
        <v>110.88800000000001</v>
      </c>
      <c r="M61" t="s">
        <v>60</v>
      </c>
      <c r="N61" s="19">
        <v>-64.232369030356452</v>
      </c>
      <c r="O61" s="19">
        <v>49.630164496317988</v>
      </c>
      <c r="P61">
        <v>3</v>
      </c>
      <c r="Q61" t="s">
        <v>5</v>
      </c>
      <c r="R61" s="3" t="s">
        <v>116</v>
      </c>
    </row>
    <row r="62" spans="1:18" ht="60">
      <c r="A62">
        <v>61</v>
      </c>
      <c r="B62" t="s">
        <v>6</v>
      </c>
      <c r="C62" s="15">
        <v>45653.854166666664</v>
      </c>
      <c r="D62" s="16">
        <v>-11.020479999999999</v>
      </c>
      <c r="E62" s="16">
        <v>-4.3820199999999998</v>
      </c>
      <c r="F62" s="16">
        <v>-6.4791900000000009</v>
      </c>
      <c r="G62" s="16">
        <v>0</v>
      </c>
      <c r="H62" s="16">
        <v>6.2139999999999986</v>
      </c>
      <c r="I62" s="16">
        <v>0.42211599999999999</v>
      </c>
      <c r="J62" s="17">
        <v>2</v>
      </c>
      <c r="K62" s="18">
        <v>57</v>
      </c>
      <c r="L62" s="18">
        <v>113.67700000000001</v>
      </c>
      <c r="M62" t="s">
        <v>60</v>
      </c>
      <c r="N62" s="19">
        <v>-64.230866397884625</v>
      </c>
      <c r="O62" s="19">
        <v>49.631667128789822</v>
      </c>
      <c r="P62">
        <v>3</v>
      </c>
      <c r="Q62" t="s">
        <v>5</v>
      </c>
      <c r="R62" s="3" t="s">
        <v>117</v>
      </c>
    </row>
    <row r="63" spans="1:18" ht="45">
      <c r="A63">
        <v>62</v>
      </c>
      <c r="B63" t="s">
        <v>6</v>
      </c>
      <c r="C63" s="15">
        <v>45653.875</v>
      </c>
      <c r="D63" s="16">
        <v>-6.4791900000000009</v>
      </c>
      <c r="E63" s="16">
        <v>-11.020479999999999</v>
      </c>
      <c r="F63" s="16">
        <v>-17.857051000000002</v>
      </c>
      <c r="G63" s="16">
        <v>0</v>
      </c>
      <c r="H63" s="16">
        <v>6.4460000000000264</v>
      </c>
      <c r="I63" s="16">
        <v>0.45424700000000001</v>
      </c>
      <c r="J63" s="17">
        <v>2</v>
      </c>
      <c r="K63" s="18">
        <v>61</v>
      </c>
      <c r="L63" s="18">
        <v>117.748</v>
      </c>
      <c r="M63" t="s">
        <v>60</v>
      </c>
      <c r="N63" s="19">
        <v>-64.235378810857426</v>
      </c>
      <c r="O63" s="19">
        <v>49.627154715817014</v>
      </c>
      <c r="P63">
        <v>3</v>
      </c>
      <c r="Q63" t="s">
        <v>7</v>
      </c>
      <c r="R63" s="3" t="s">
        <v>256</v>
      </c>
    </row>
    <row r="64" spans="1:18" ht="45">
      <c r="A64">
        <v>63</v>
      </c>
      <c r="B64" t="s">
        <v>6</v>
      </c>
      <c r="C64" s="15">
        <v>45653.895833333336</v>
      </c>
      <c r="D64" s="16">
        <v>-17.857051000000002</v>
      </c>
      <c r="E64" s="16">
        <v>-6.4791900000000009</v>
      </c>
      <c r="F64" s="16">
        <v>1.1394850000000001</v>
      </c>
      <c r="G64" s="16">
        <v>0</v>
      </c>
      <c r="H64" s="16">
        <v>6.6419999999999959</v>
      </c>
      <c r="I64" s="16">
        <v>0.42298000000000002</v>
      </c>
      <c r="J64" s="17">
        <v>2</v>
      </c>
      <c r="K64" s="18">
        <v>59</v>
      </c>
      <c r="L64" s="18">
        <v>117.898</v>
      </c>
      <c r="M64" t="s">
        <v>60</v>
      </c>
      <c r="N64" s="19">
        <v>-64.211669582791032</v>
      </c>
      <c r="O64" s="19">
        <v>63.536804535706693</v>
      </c>
      <c r="P64">
        <v>3</v>
      </c>
      <c r="Q64" t="s">
        <v>5</v>
      </c>
      <c r="R64" s="3" t="s">
        <v>119</v>
      </c>
    </row>
    <row r="65" spans="1:18" ht="90">
      <c r="A65">
        <v>64</v>
      </c>
      <c r="B65" t="s">
        <v>6</v>
      </c>
      <c r="C65" s="15">
        <v>45654.979166666664</v>
      </c>
      <c r="D65" s="16">
        <v>-6.7230699999999999</v>
      </c>
      <c r="E65" s="16">
        <v>-15.40382</v>
      </c>
      <c r="F65" s="16">
        <v>-39.451880000000003</v>
      </c>
      <c r="G65" s="16">
        <v>0</v>
      </c>
      <c r="H65" s="16">
        <v>4.79200000000003</v>
      </c>
      <c r="I65" s="16">
        <v>0.145681</v>
      </c>
      <c r="J65" s="17">
        <v>2</v>
      </c>
      <c r="K65" s="18">
        <v>98</v>
      </c>
      <c r="L65" s="18">
        <v>180.12100000000001</v>
      </c>
      <c r="M65" t="s">
        <v>55</v>
      </c>
      <c r="N65" s="19">
        <v>-39.448671380175206</v>
      </c>
      <c r="O65" s="19">
        <v>4.094904897338596</v>
      </c>
      <c r="P65">
        <v>3</v>
      </c>
      <c r="Q65" t="s">
        <v>7</v>
      </c>
      <c r="R65" s="3" t="s">
        <v>120</v>
      </c>
    </row>
    <row r="66" spans="1:18" ht="60">
      <c r="A66">
        <v>65</v>
      </c>
      <c r="B66" t="s">
        <v>6</v>
      </c>
      <c r="C66" s="15">
        <v>45655.166666666664</v>
      </c>
      <c r="D66" s="16">
        <v>-11.500101000000001</v>
      </c>
      <c r="E66" s="16">
        <v>1.1297540000000001</v>
      </c>
      <c r="F66" s="16">
        <v>-1.8391310000000001</v>
      </c>
      <c r="G66" s="16">
        <v>0</v>
      </c>
      <c r="H66" s="16">
        <v>3.6840000000000259</v>
      </c>
      <c r="I66" s="16">
        <v>0.101796</v>
      </c>
      <c r="J66" s="17">
        <v>1</v>
      </c>
      <c r="K66" s="18">
        <v>95</v>
      </c>
      <c r="L66" s="18">
        <v>93.009399999999999</v>
      </c>
      <c r="M66" t="s">
        <v>50</v>
      </c>
      <c r="N66" s="19">
        <v>-11.500101000000001</v>
      </c>
      <c r="O66" s="19">
        <v>4.0981810952426692</v>
      </c>
      <c r="P66">
        <v>1</v>
      </c>
      <c r="Q66" t="s">
        <v>5</v>
      </c>
      <c r="R66" s="3" t="s">
        <v>257</v>
      </c>
    </row>
    <row r="67" spans="1:18" ht="60">
      <c r="A67">
        <v>66</v>
      </c>
      <c r="B67" t="s">
        <v>6</v>
      </c>
      <c r="C67" s="15">
        <v>45656.020833333336</v>
      </c>
      <c r="D67" s="16">
        <v>-24.774789700000003</v>
      </c>
      <c r="E67" s="16">
        <v>44.348101999999997</v>
      </c>
      <c r="F67" s="16">
        <v>-9.1809000000000012</v>
      </c>
      <c r="G67" s="16">
        <v>0</v>
      </c>
      <c r="H67" s="16">
        <v>2.8470000000000368</v>
      </c>
      <c r="I67" s="16">
        <v>0.57008700000000001</v>
      </c>
      <c r="J67" s="17">
        <v>0</v>
      </c>
      <c r="K67" s="18">
        <v>32</v>
      </c>
      <c r="L67" s="18">
        <v>303.59800000000001</v>
      </c>
      <c r="M67" t="s">
        <v>60</v>
      </c>
      <c r="N67" s="19">
        <v>-59.382259376695302</v>
      </c>
      <c r="O67" s="19">
        <v>44.334039669361587</v>
      </c>
      <c r="P67">
        <v>2</v>
      </c>
      <c r="Q67" t="s">
        <v>5</v>
      </c>
      <c r="R67" s="3" t="s">
        <v>122</v>
      </c>
    </row>
    <row r="68" spans="1:18" ht="45">
      <c r="A68">
        <v>67</v>
      </c>
      <c r="B68" t="s">
        <v>6</v>
      </c>
      <c r="C68" s="15">
        <v>45656.041666666664</v>
      </c>
      <c r="D68" s="16">
        <v>-9.1809000000000012</v>
      </c>
      <c r="E68" s="16">
        <v>-24.774789700000003</v>
      </c>
      <c r="F68" s="16">
        <v>-4.7739599999999998</v>
      </c>
      <c r="G68" s="16">
        <v>0</v>
      </c>
      <c r="H68" s="16">
        <v>2.75</v>
      </c>
      <c r="I68" s="16">
        <v>0.57548299999999997</v>
      </c>
      <c r="J68" s="17">
        <v>2</v>
      </c>
      <c r="K68" s="18">
        <v>29</v>
      </c>
      <c r="L68" s="18">
        <v>307.435</v>
      </c>
      <c r="M68" t="s">
        <v>55</v>
      </c>
      <c r="N68" s="19">
        <v>-24.772347875559444</v>
      </c>
      <c r="O68" s="19">
        <v>44.339434054327683</v>
      </c>
      <c r="P68">
        <v>2</v>
      </c>
      <c r="Q68" t="s">
        <v>5</v>
      </c>
      <c r="R68" s="3" t="s">
        <v>258</v>
      </c>
    </row>
    <row r="69" spans="1:18" ht="60">
      <c r="A69">
        <v>68</v>
      </c>
      <c r="B69" t="s">
        <v>6</v>
      </c>
      <c r="C69" s="15">
        <v>45656.104166666664</v>
      </c>
      <c r="D69" s="16">
        <v>-16.384499999999999</v>
      </c>
      <c r="E69" s="16">
        <v>-4.7739599999999998</v>
      </c>
      <c r="F69" s="16">
        <v>1.2680900000000002</v>
      </c>
      <c r="G69" s="16">
        <v>0</v>
      </c>
      <c r="H69" s="16">
        <v>2.7450000000000045</v>
      </c>
      <c r="I69" s="16">
        <v>0.69642099999999996</v>
      </c>
      <c r="J69" s="17">
        <v>0</v>
      </c>
      <c r="K69" s="18">
        <v>26</v>
      </c>
      <c r="L69" s="18">
        <v>294.09699999999998</v>
      </c>
      <c r="M69" t="s">
        <v>50</v>
      </c>
      <c r="N69" s="19">
        <v>-24.772825931635928</v>
      </c>
      <c r="O69" s="19">
        <v>44.338955998251201</v>
      </c>
      <c r="P69">
        <v>1</v>
      </c>
      <c r="Q69" t="s">
        <v>5</v>
      </c>
      <c r="R69" s="3" t="s">
        <v>124</v>
      </c>
    </row>
    <row r="70" spans="1:18" ht="75">
      <c r="A70">
        <v>69</v>
      </c>
      <c r="B70" t="s">
        <v>6</v>
      </c>
      <c r="C70" s="15">
        <v>45656.833333333336</v>
      </c>
      <c r="D70" s="16">
        <v>-8.7582299999999993</v>
      </c>
      <c r="E70" s="16">
        <v>5.1313737999999995</v>
      </c>
      <c r="F70" s="16"/>
      <c r="G70" s="16">
        <v>0</v>
      </c>
      <c r="H70" s="16">
        <v>1.9620000000000459</v>
      </c>
      <c r="I70" s="16">
        <v>0.12391000000000001</v>
      </c>
      <c r="J70" s="17">
        <v>2</v>
      </c>
      <c r="K70" s="18">
        <v>63</v>
      </c>
      <c r="L70" s="18">
        <v>239.64099999999999</v>
      </c>
      <c r="M70" t="s">
        <v>50</v>
      </c>
      <c r="N70" s="19">
        <v>-20.037796740329831</v>
      </c>
      <c r="O70" s="19">
        <v>16.084145862535514</v>
      </c>
      <c r="P70">
        <v>1</v>
      </c>
      <c r="Q70" t="s">
        <v>7</v>
      </c>
      <c r="R70" s="3" t="s">
        <v>125</v>
      </c>
    </row>
    <row r="71" spans="1:18" ht="60">
      <c r="A71">
        <v>70</v>
      </c>
      <c r="B71" t="s">
        <v>8</v>
      </c>
      <c r="C71" s="15">
        <v>45294.770833333336</v>
      </c>
      <c r="D71" s="16">
        <v>-7.5496119999999998</v>
      </c>
      <c r="E71" s="16">
        <v>1.2025399999999995</v>
      </c>
      <c r="F71" s="16">
        <v>-1.4674525999999999</v>
      </c>
      <c r="G71" s="16">
        <v>2.72926E-4</v>
      </c>
      <c r="H71" s="16">
        <v>-0.23300000000000409</v>
      </c>
      <c r="I71" s="16">
        <v>0.50412699999999999</v>
      </c>
      <c r="J71" s="17">
        <v>2</v>
      </c>
      <c r="K71" s="18">
        <v>93</v>
      </c>
      <c r="L71" s="18">
        <v>343.46699999999998</v>
      </c>
      <c r="M71" t="s">
        <v>50</v>
      </c>
      <c r="N71" s="19">
        <v>-7.5496119999999998</v>
      </c>
      <c r="O71" s="19">
        <v>5.2140914255110964</v>
      </c>
      <c r="P71">
        <v>1</v>
      </c>
      <c r="Q71" t="s">
        <v>7</v>
      </c>
      <c r="R71" s="3" t="s">
        <v>126</v>
      </c>
    </row>
    <row r="72" spans="1:18" ht="60">
      <c r="A72">
        <v>71</v>
      </c>
      <c r="B72" t="s">
        <v>8</v>
      </c>
      <c r="C72" s="15">
        <v>45305.875</v>
      </c>
      <c r="D72" s="16">
        <v>-8.7196259999999999</v>
      </c>
      <c r="E72" s="16">
        <v>1.3556185000000001</v>
      </c>
      <c r="F72" s="16">
        <v>4.3406700000000003</v>
      </c>
      <c r="G72" s="16">
        <v>0.11111111111111112</v>
      </c>
      <c r="H72" s="16">
        <v>-11.64</v>
      </c>
      <c r="I72" s="16">
        <v>0.53701900000000002</v>
      </c>
      <c r="J72" s="17">
        <v>1</v>
      </c>
      <c r="K72" s="18">
        <v>100</v>
      </c>
      <c r="L72" s="18">
        <v>221.09800000000001</v>
      </c>
      <c r="M72" t="s">
        <v>50</v>
      </c>
      <c r="N72" s="19">
        <v>-8.7196259999999999</v>
      </c>
      <c r="O72" s="19">
        <v>4.3419187965448929</v>
      </c>
      <c r="P72">
        <v>1</v>
      </c>
      <c r="Q72" t="s">
        <v>7</v>
      </c>
      <c r="R72" s="3" t="s">
        <v>127</v>
      </c>
    </row>
    <row r="73" spans="1:18" ht="45">
      <c r="A73">
        <v>72</v>
      </c>
      <c r="B73" t="s">
        <v>8</v>
      </c>
      <c r="C73" s="15">
        <v>45317.020833333336</v>
      </c>
      <c r="D73" s="16">
        <v>-7.1046499999999995</v>
      </c>
      <c r="E73" s="16">
        <v>1.1710600000000007</v>
      </c>
      <c r="F73" s="16">
        <v>-10.356839999999998</v>
      </c>
      <c r="G73" s="16">
        <v>2.70461E-4</v>
      </c>
      <c r="H73" s="16">
        <v>0.72400000000004638</v>
      </c>
      <c r="I73" s="16">
        <v>0.45602999999999999</v>
      </c>
      <c r="J73" s="17">
        <v>2</v>
      </c>
      <c r="K73" s="18">
        <v>60</v>
      </c>
      <c r="L73" s="18">
        <v>67.107399999999998</v>
      </c>
      <c r="M73" t="s">
        <v>60</v>
      </c>
      <c r="N73" s="19">
        <v>-70.413205590531021</v>
      </c>
      <c r="O73" s="19">
        <v>57.781696054323412</v>
      </c>
      <c r="P73">
        <v>2</v>
      </c>
      <c r="Q73" t="s">
        <v>5</v>
      </c>
      <c r="R73" s="3" t="s">
        <v>259</v>
      </c>
    </row>
    <row r="74" spans="1:18" ht="60">
      <c r="A74">
        <v>73</v>
      </c>
      <c r="B74" t="s">
        <v>8</v>
      </c>
      <c r="C74" s="15">
        <v>45317.041666666664</v>
      </c>
      <c r="D74" s="16">
        <v>-10.356839999999998</v>
      </c>
      <c r="E74" s="16">
        <v>-7.1046499999999995</v>
      </c>
      <c r="F74" s="16">
        <v>9.6726500000000009</v>
      </c>
      <c r="G74" s="16">
        <v>2.6355699999999998E-4</v>
      </c>
      <c r="H74" s="16">
        <v>0.76200000000000045</v>
      </c>
      <c r="I74" s="16">
        <v>0.56881099999999996</v>
      </c>
      <c r="J74" s="17">
        <v>0</v>
      </c>
      <c r="K74" s="18">
        <v>56</v>
      </c>
      <c r="L74" s="18">
        <v>70.320700000000002</v>
      </c>
      <c r="M74" t="s">
        <v>60</v>
      </c>
      <c r="N74" s="19">
        <v>-70.409285407158819</v>
      </c>
      <c r="O74" s="19">
        <v>57.785616237695606</v>
      </c>
      <c r="P74">
        <v>2</v>
      </c>
      <c r="Q74" t="s">
        <v>5</v>
      </c>
      <c r="R74" s="3" t="s">
        <v>129</v>
      </c>
    </row>
    <row r="75" spans="1:18" ht="60">
      <c r="A75">
        <v>74</v>
      </c>
      <c r="B75" t="s">
        <v>8</v>
      </c>
      <c r="C75" s="15">
        <v>45317.145833333336</v>
      </c>
      <c r="D75" s="16">
        <v>-25.99070871</v>
      </c>
      <c r="E75" s="16">
        <v>9.7261000000000024</v>
      </c>
      <c r="F75" s="16">
        <v>-24.646699999999999</v>
      </c>
      <c r="G75" s="16">
        <v>1.4447599999999999E-4</v>
      </c>
      <c r="H75" s="16">
        <v>1.0670000000000073</v>
      </c>
      <c r="I75" s="16">
        <v>0.32577099999999998</v>
      </c>
      <c r="J75" s="17">
        <v>0</v>
      </c>
      <c r="K75" s="18">
        <v>56</v>
      </c>
      <c r="L75" s="18">
        <v>23.183199999999999</v>
      </c>
      <c r="M75" t="s">
        <v>60</v>
      </c>
      <c r="N75" s="19">
        <v>-70.391934748104291</v>
      </c>
      <c r="O75" s="19">
        <v>57.802966896750142</v>
      </c>
      <c r="P75">
        <v>4</v>
      </c>
      <c r="Q75" t="s">
        <v>5</v>
      </c>
      <c r="R75" s="3" t="s">
        <v>130</v>
      </c>
    </row>
    <row r="76" spans="1:18" ht="60">
      <c r="A76">
        <v>75</v>
      </c>
      <c r="B76" t="s">
        <v>8</v>
      </c>
      <c r="C76" s="15">
        <v>45317.166666666664</v>
      </c>
      <c r="D76" s="16">
        <v>-24.646699999999999</v>
      </c>
      <c r="E76" s="16">
        <v>-25.99070871</v>
      </c>
      <c r="F76" s="16">
        <v>-41.637989999999995</v>
      </c>
      <c r="G76" s="16">
        <v>0</v>
      </c>
      <c r="H76" s="16">
        <v>1.0660000000000309</v>
      </c>
      <c r="I76" s="16">
        <v>0.41441499999999998</v>
      </c>
      <c r="J76" s="17">
        <v>2</v>
      </c>
      <c r="K76" s="18">
        <v>55</v>
      </c>
      <c r="L76" s="18">
        <v>18.146999999999998</v>
      </c>
      <c r="M76" t="s">
        <v>60</v>
      </c>
      <c r="N76" s="19">
        <v>-70.39407372821222</v>
      </c>
      <c r="O76" s="19">
        <v>57.800827916642213</v>
      </c>
      <c r="P76">
        <v>4</v>
      </c>
      <c r="Q76" t="s">
        <v>5</v>
      </c>
      <c r="R76" s="3" t="s">
        <v>131</v>
      </c>
    </row>
    <row r="77" spans="1:18" ht="60">
      <c r="A77">
        <v>76</v>
      </c>
      <c r="B77" t="s">
        <v>8</v>
      </c>
      <c r="C77" s="15">
        <v>45317.208333333336</v>
      </c>
      <c r="D77" s="16">
        <v>-22.330490000000001</v>
      </c>
      <c r="E77" s="16">
        <v>-41.637989999999995</v>
      </c>
      <c r="F77" s="16">
        <v>57.498009999999994</v>
      </c>
      <c r="G77" s="16">
        <v>4.68437E-5</v>
      </c>
      <c r="H77" s="16">
        <v>1.0270000000000437</v>
      </c>
      <c r="I77" s="16">
        <v>0.32694499999999999</v>
      </c>
      <c r="J77" s="17">
        <v>1</v>
      </c>
      <c r="K77" s="18">
        <v>46</v>
      </c>
      <c r="L77" s="18">
        <v>13.7369</v>
      </c>
      <c r="M77" t="s">
        <v>60</v>
      </c>
      <c r="N77" s="19">
        <v>-70.34720521338285</v>
      </c>
      <c r="O77" s="19">
        <v>58.072425475267892</v>
      </c>
      <c r="P77">
        <v>4</v>
      </c>
      <c r="Q77" t="s">
        <v>5</v>
      </c>
      <c r="R77" s="3" t="s">
        <v>132</v>
      </c>
    </row>
    <row r="78" spans="1:18" ht="60">
      <c r="A78">
        <v>77</v>
      </c>
      <c r="B78" t="s">
        <v>8</v>
      </c>
      <c r="C78" s="15">
        <v>45317.270833333336</v>
      </c>
      <c r="D78" s="16">
        <v>-28.674189999999996</v>
      </c>
      <c r="E78" s="16">
        <v>5.3060499999999999</v>
      </c>
      <c r="F78" s="16">
        <v>8.0018199999999986</v>
      </c>
      <c r="G78" s="16">
        <v>0</v>
      </c>
      <c r="H78" s="16">
        <v>1.1240000000000236</v>
      </c>
      <c r="I78" s="16">
        <v>0.35758600000000001</v>
      </c>
      <c r="J78" s="17">
        <v>1</v>
      </c>
      <c r="K78" s="18">
        <v>46</v>
      </c>
      <c r="L78" s="18">
        <v>34.4801</v>
      </c>
      <c r="M78" t="s">
        <v>60</v>
      </c>
      <c r="N78" s="19">
        <v>-41.629383803592461</v>
      </c>
      <c r="O78" s="19">
        <v>58.000569093095386</v>
      </c>
      <c r="P78">
        <v>1</v>
      </c>
      <c r="Q78" t="s">
        <v>5</v>
      </c>
      <c r="R78" s="3" t="s">
        <v>133</v>
      </c>
    </row>
    <row r="79" spans="1:18" ht="75">
      <c r="A79">
        <v>78</v>
      </c>
      <c r="B79" t="s">
        <v>8</v>
      </c>
      <c r="C79" s="15">
        <v>45318.291666666664</v>
      </c>
      <c r="D79" s="16">
        <v>-5.4783800000000005</v>
      </c>
      <c r="E79" s="16">
        <v>2.4355290000000003</v>
      </c>
      <c r="F79" s="16">
        <v>-3.9209100000000001</v>
      </c>
      <c r="G79" s="16">
        <v>0.1388888888888889</v>
      </c>
      <c r="H79" s="16">
        <v>0.76</v>
      </c>
      <c r="I79" s="16">
        <v>0.187555</v>
      </c>
      <c r="J79" s="17">
        <v>2</v>
      </c>
      <c r="K79" s="18">
        <v>50</v>
      </c>
      <c r="L79" s="18">
        <v>105.93600000000001</v>
      </c>
      <c r="M79" t="s">
        <v>58</v>
      </c>
      <c r="N79" s="19">
        <v>-5.4783800000000005</v>
      </c>
      <c r="O79" s="19">
        <v>2.435227690719211</v>
      </c>
      <c r="P79">
        <v>1</v>
      </c>
      <c r="Q79" t="s">
        <v>7</v>
      </c>
      <c r="R79" s="3" t="s">
        <v>134</v>
      </c>
    </row>
    <row r="80" spans="1:18" ht="60">
      <c r="A80">
        <v>79</v>
      </c>
      <c r="B80" t="s">
        <v>8</v>
      </c>
      <c r="C80" s="15">
        <v>45319.166666666664</v>
      </c>
      <c r="D80" s="16">
        <v>-8.7546900000000019</v>
      </c>
      <c r="E80" s="16">
        <v>3.32003</v>
      </c>
      <c r="F80" s="16">
        <v>3.1366499999999999</v>
      </c>
      <c r="G80" s="16">
        <v>8.3333333333333329E-2</v>
      </c>
      <c r="H80" s="16">
        <v>1.85</v>
      </c>
      <c r="I80" s="16">
        <v>0.26424300000000001</v>
      </c>
      <c r="J80" s="17">
        <v>2</v>
      </c>
      <c r="K80" s="18">
        <v>57</v>
      </c>
      <c r="L80" s="18">
        <v>20.751000000000001</v>
      </c>
      <c r="M80" t="s">
        <v>50</v>
      </c>
      <c r="N80" s="19">
        <v>-8.8074748913901733</v>
      </c>
      <c r="O80" s="19">
        <v>19.341290464054843</v>
      </c>
      <c r="P80">
        <v>1</v>
      </c>
      <c r="Q80" t="s">
        <v>7</v>
      </c>
      <c r="R80" s="3" t="s">
        <v>135</v>
      </c>
    </row>
    <row r="81" spans="1:18" ht="60">
      <c r="A81">
        <v>80</v>
      </c>
      <c r="B81" t="s">
        <v>8</v>
      </c>
      <c r="C81" s="15">
        <v>45319.291666666664</v>
      </c>
      <c r="D81" s="16">
        <v>-8.8072499999999998</v>
      </c>
      <c r="E81" s="16">
        <v>3.385567</v>
      </c>
      <c r="F81" s="16">
        <v>-2.1847299999999996</v>
      </c>
      <c r="G81" s="16">
        <v>0.1388888888888889</v>
      </c>
      <c r="H81" s="16">
        <v>1.49</v>
      </c>
      <c r="I81" s="16">
        <v>0.36856100000000003</v>
      </c>
      <c r="J81" s="17">
        <v>2</v>
      </c>
      <c r="K81" s="18">
        <v>63</v>
      </c>
      <c r="L81" s="18">
        <v>5.2182199999999996</v>
      </c>
      <c r="M81" t="s">
        <v>50</v>
      </c>
      <c r="N81" s="19">
        <v>-8.8072499999999998</v>
      </c>
      <c r="O81" s="19">
        <v>19.341512426693349</v>
      </c>
      <c r="P81">
        <v>1</v>
      </c>
      <c r="Q81" t="s">
        <v>7</v>
      </c>
      <c r="R81" s="3" t="s">
        <v>136</v>
      </c>
    </row>
    <row r="82" spans="1:18" ht="45">
      <c r="A82">
        <v>81</v>
      </c>
      <c r="B82" t="s">
        <v>8</v>
      </c>
      <c r="C82" s="15">
        <v>45337.270833333336</v>
      </c>
      <c r="D82" s="16">
        <v>-6.1196000000000019</v>
      </c>
      <c r="E82" s="16">
        <v>67.035799999999995</v>
      </c>
      <c r="F82" s="16">
        <v>-114.33009999999999</v>
      </c>
      <c r="G82" s="16">
        <v>5.5555555555555559E-2</v>
      </c>
      <c r="H82" s="16">
        <v>0.12</v>
      </c>
      <c r="I82" s="16">
        <v>0.52525699999999997</v>
      </c>
      <c r="J82" s="17">
        <v>0</v>
      </c>
      <c r="K82" s="18">
        <v>15</v>
      </c>
      <c r="L82" s="18">
        <v>130.07</v>
      </c>
      <c r="M82" t="s">
        <v>60</v>
      </c>
      <c r="N82" s="19">
        <v>-114.14382180527613</v>
      </c>
      <c r="O82" s="19">
        <v>66.910913672566707</v>
      </c>
      <c r="P82">
        <v>3</v>
      </c>
      <c r="Q82" t="s">
        <v>5</v>
      </c>
      <c r="R82" s="3" t="s">
        <v>260</v>
      </c>
    </row>
    <row r="83" spans="1:18" ht="60">
      <c r="A83">
        <v>82</v>
      </c>
      <c r="B83" t="s">
        <v>8</v>
      </c>
      <c r="C83" s="15">
        <v>45337.3125</v>
      </c>
      <c r="D83" s="16">
        <v>-12.307770000000001</v>
      </c>
      <c r="E83" s="16">
        <v>-114.33009999999999</v>
      </c>
      <c r="F83" s="16">
        <v>-4.2098800000000001</v>
      </c>
      <c r="G83" s="16">
        <v>8.3333333333333329E-2</v>
      </c>
      <c r="H83" s="16">
        <v>-1.42</v>
      </c>
      <c r="I83" s="16">
        <v>0.75659900000000002</v>
      </c>
      <c r="J83" s="17">
        <v>1</v>
      </c>
      <c r="K83" s="18">
        <v>41</v>
      </c>
      <c r="L83" s="18">
        <v>140.07400000000001</v>
      </c>
      <c r="M83" t="s">
        <v>60</v>
      </c>
      <c r="N83" s="19">
        <v>-114.15300136740738</v>
      </c>
      <c r="O83" s="19">
        <v>66.901734110435456</v>
      </c>
      <c r="P83">
        <v>3</v>
      </c>
      <c r="Q83" t="s">
        <v>5</v>
      </c>
      <c r="R83" s="3" t="s">
        <v>138</v>
      </c>
    </row>
    <row r="84" spans="1:18" ht="75">
      <c r="A84">
        <v>83</v>
      </c>
      <c r="B84" t="s">
        <v>8</v>
      </c>
      <c r="C84" s="15">
        <v>45337.375</v>
      </c>
      <c r="D84" s="16">
        <v>-26.278999999999996</v>
      </c>
      <c r="E84" s="16">
        <v>27.153047000000001</v>
      </c>
      <c r="F84" s="16">
        <v>14.666800000000002</v>
      </c>
      <c r="G84" s="16">
        <v>1.6944444444444444</v>
      </c>
      <c r="H84" s="16">
        <v>-0.84</v>
      </c>
      <c r="I84" s="16">
        <v>0.15867800000000001</v>
      </c>
      <c r="J84" s="17">
        <v>0</v>
      </c>
      <c r="K84" s="18">
        <v>3</v>
      </c>
      <c r="L84" s="18">
        <v>190.17500000000001</v>
      </c>
      <c r="M84" t="s">
        <v>60</v>
      </c>
      <c r="N84" s="19">
        <v>-114.17367338803868</v>
      </c>
      <c r="O84" s="19">
        <v>66.881062089804175</v>
      </c>
      <c r="P84">
        <v>1</v>
      </c>
      <c r="Q84" t="s">
        <v>5</v>
      </c>
      <c r="R84" s="3" t="s">
        <v>139</v>
      </c>
    </row>
    <row r="85" spans="1:18" ht="75">
      <c r="A85">
        <v>84</v>
      </c>
      <c r="B85" t="s">
        <v>8</v>
      </c>
      <c r="C85" s="15">
        <v>45337.416666666664</v>
      </c>
      <c r="D85" s="16">
        <v>-15.0313</v>
      </c>
      <c r="E85" s="16">
        <v>14.666800000000002</v>
      </c>
      <c r="F85" s="16">
        <v>-29.107469999999999</v>
      </c>
      <c r="G85" s="16">
        <v>7.3055555555555562</v>
      </c>
      <c r="H85" s="16">
        <v>-0.53</v>
      </c>
      <c r="I85" s="16">
        <v>0.13427</v>
      </c>
      <c r="J85" s="17">
        <v>1</v>
      </c>
      <c r="K85" s="18">
        <v>30</v>
      </c>
      <c r="L85" s="18">
        <v>342.71100000000001</v>
      </c>
      <c r="M85" t="s">
        <v>60</v>
      </c>
      <c r="N85" s="19">
        <v>-114.28153614609572</v>
      </c>
      <c r="O85" s="19">
        <v>31.208406452237938</v>
      </c>
      <c r="P85">
        <v>2</v>
      </c>
      <c r="Q85" t="s">
        <v>5</v>
      </c>
      <c r="R85" s="3" t="s">
        <v>140</v>
      </c>
    </row>
    <row r="86" spans="1:18" ht="60">
      <c r="A86">
        <v>85</v>
      </c>
      <c r="B86" t="s">
        <v>8</v>
      </c>
      <c r="C86" s="15">
        <v>45337.4375</v>
      </c>
      <c r="D86" s="16">
        <v>-29.107469999999999</v>
      </c>
      <c r="E86" s="16">
        <v>-15.0313</v>
      </c>
      <c r="F86" s="16">
        <v>31.22869</v>
      </c>
      <c r="G86" s="16">
        <v>7.3055555555555562</v>
      </c>
      <c r="H86" s="16">
        <v>-0.53</v>
      </c>
      <c r="I86" s="16">
        <v>0.20396900000000001</v>
      </c>
      <c r="J86" s="17">
        <v>0</v>
      </c>
      <c r="K86" s="18">
        <v>13</v>
      </c>
      <c r="L86" s="18">
        <v>351.37299999999999</v>
      </c>
      <c r="M86" t="s">
        <v>55</v>
      </c>
      <c r="N86" s="19">
        <v>-29.107469999999999</v>
      </c>
      <c r="O86" s="19">
        <v>31.244405387749257</v>
      </c>
      <c r="P86">
        <v>2</v>
      </c>
      <c r="Q86" t="s">
        <v>5</v>
      </c>
      <c r="R86" s="3" t="s">
        <v>141</v>
      </c>
    </row>
    <row r="87" spans="1:18" ht="45">
      <c r="A87">
        <v>86</v>
      </c>
      <c r="B87" t="s">
        <v>8</v>
      </c>
      <c r="C87" s="15">
        <v>45350.3125</v>
      </c>
      <c r="D87" s="16">
        <v>-6.4224509999999997</v>
      </c>
      <c r="E87" s="16">
        <v>-35.55442</v>
      </c>
      <c r="F87" s="16">
        <v>1.9303769999999998</v>
      </c>
      <c r="G87" s="16">
        <v>0.56395899999999999</v>
      </c>
      <c r="H87" s="16">
        <v>-3.2659999999999627</v>
      </c>
      <c r="I87" s="16">
        <v>0.81230599999999997</v>
      </c>
      <c r="J87" s="17">
        <v>2</v>
      </c>
      <c r="K87" s="18">
        <v>100</v>
      </c>
      <c r="L87" s="18">
        <v>323.87299999999999</v>
      </c>
      <c r="M87" t="s">
        <v>60</v>
      </c>
      <c r="N87" s="19">
        <v>-173.05128234593954</v>
      </c>
      <c r="O87" s="19">
        <v>26.752098718106073</v>
      </c>
      <c r="P87">
        <v>2</v>
      </c>
      <c r="Q87" t="s">
        <v>7</v>
      </c>
      <c r="R87" s="3" t="s">
        <v>261</v>
      </c>
    </row>
    <row r="88" spans="1:18" ht="60">
      <c r="A88">
        <v>87</v>
      </c>
      <c r="B88" t="s">
        <v>8</v>
      </c>
      <c r="C88" s="15">
        <v>45356.104166666664</v>
      </c>
      <c r="D88" s="16">
        <v>-6.8648699999999998</v>
      </c>
      <c r="E88" s="16">
        <v>-32.643740000000001</v>
      </c>
      <c r="F88" s="16">
        <v>0.98855000000000004</v>
      </c>
      <c r="G88" s="16">
        <v>0</v>
      </c>
      <c r="H88" s="16">
        <v>13.420000000000016</v>
      </c>
      <c r="I88" s="16">
        <v>0.28575699999999998</v>
      </c>
      <c r="J88" s="17">
        <v>1</v>
      </c>
      <c r="K88" s="18">
        <v>72</v>
      </c>
      <c r="L88" s="18">
        <v>303.95600000000002</v>
      </c>
      <c r="M88" t="s">
        <v>55</v>
      </c>
      <c r="N88" s="19">
        <v>-35.168402646009589</v>
      </c>
      <c r="O88" s="19">
        <v>32.166405659043335</v>
      </c>
      <c r="P88">
        <v>2</v>
      </c>
      <c r="Q88" t="s">
        <v>7</v>
      </c>
      <c r="R88" s="3" t="s">
        <v>143</v>
      </c>
    </row>
    <row r="89" spans="1:18" ht="60">
      <c r="A89">
        <v>88</v>
      </c>
      <c r="B89" t="s">
        <v>8</v>
      </c>
      <c r="C89" s="15">
        <v>45356.1875</v>
      </c>
      <c r="D89" s="16">
        <v>-12.20195</v>
      </c>
      <c r="E89" s="16">
        <v>32.151600000000002</v>
      </c>
      <c r="F89" s="16">
        <v>-35.160269999999997</v>
      </c>
      <c r="G89" s="16">
        <v>0</v>
      </c>
      <c r="H89" s="16">
        <v>8.7800000000000296</v>
      </c>
      <c r="I89" s="16">
        <v>0.23360900000000001</v>
      </c>
      <c r="J89" s="17">
        <v>2</v>
      </c>
      <c r="K89" s="18">
        <v>25</v>
      </c>
      <c r="L89" s="18">
        <v>65.028899999999993</v>
      </c>
      <c r="M89" t="s">
        <v>60</v>
      </c>
      <c r="N89" s="19">
        <v>-62.219390490850103</v>
      </c>
      <c r="O89" s="19">
        <v>66.425069777489853</v>
      </c>
      <c r="P89">
        <v>4</v>
      </c>
      <c r="Q89" t="s">
        <v>5</v>
      </c>
      <c r="R89" s="3" t="s">
        <v>144</v>
      </c>
    </row>
    <row r="90" spans="1:18" ht="60">
      <c r="A90">
        <v>89</v>
      </c>
      <c r="B90" t="s">
        <v>8</v>
      </c>
      <c r="C90" s="15">
        <v>45356.229166666664</v>
      </c>
      <c r="D90" s="16">
        <v>-20.636299999999999</v>
      </c>
      <c r="E90" s="16">
        <v>-35.160269999999997</v>
      </c>
      <c r="F90" s="16">
        <v>-16.906379999999999</v>
      </c>
      <c r="G90" s="16">
        <v>0</v>
      </c>
      <c r="H90" s="16">
        <v>8.9650000000000318</v>
      </c>
      <c r="I90" s="16">
        <v>0.41133399999999998</v>
      </c>
      <c r="J90" s="17">
        <v>1</v>
      </c>
      <c r="K90" s="18">
        <v>24</v>
      </c>
      <c r="L90" s="18">
        <v>3.4150999999999998</v>
      </c>
      <c r="M90" t="s">
        <v>60</v>
      </c>
      <c r="N90" s="19">
        <v>-62.228323685873079</v>
      </c>
      <c r="O90" s="19">
        <v>66.416136582466891</v>
      </c>
      <c r="P90">
        <v>4</v>
      </c>
      <c r="Q90" t="s">
        <v>5</v>
      </c>
      <c r="R90" s="3" t="s">
        <v>145</v>
      </c>
    </row>
    <row r="91" spans="1:18" ht="60">
      <c r="A91">
        <v>90</v>
      </c>
      <c r="B91" t="s">
        <v>8</v>
      </c>
      <c r="C91" s="15">
        <v>45356.25</v>
      </c>
      <c r="D91" s="16">
        <v>-16.906379999999999</v>
      </c>
      <c r="E91" s="16">
        <v>-20.636299999999999</v>
      </c>
      <c r="F91" s="16">
        <v>66.502100000000013</v>
      </c>
      <c r="G91" s="16">
        <v>0</v>
      </c>
      <c r="H91" s="16">
        <v>8.5460000000000491</v>
      </c>
      <c r="I91" s="16">
        <v>0.313994</v>
      </c>
      <c r="J91" s="17">
        <v>2</v>
      </c>
      <c r="K91" s="18">
        <v>30</v>
      </c>
      <c r="L91" s="18">
        <v>349.90100000000001</v>
      </c>
      <c r="M91" t="s">
        <v>60</v>
      </c>
      <c r="N91" s="19">
        <v>-62.222089023546673</v>
      </c>
      <c r="O91" s="19">
        <v>66.422371244793283</v>
      </c>
      <c r="P91">
        <v>4</v>
      </c>
      <c r="Q91" t="s">
        <v>5</v>
      </c>
      <c r="R91" s="3" t="s">
        <v>146</v>
      </c>
    </row>
    <row r="92" spans="1:18" ht="45">
      <c r="A92">
        <v>91</v>
      </c>
      <c r="B92" t="s">
        <v>8</v>
      </c>
      <c r="C92" s="15">
        <v>45356.291666666664</v>
      </c>
      <c r="D92" s="16">
        <v>-5.9442200000000005</v>
      </c>
      <c r="E92" s="16">
        <v>66.502100000000013</v>
      </c>
      <c r="F92" s="16">
        <v>-62.269729999999996</v>
      </c>
      <c r="G92" s="16">
        <v>7.5583500000000001E-3</v>
      </c>
      <c r="H92" s="16">
        <v>6.0889999999999986</v>
      </c>
      <c r="I92" s="16">
        <v>0.49100100000000002</v>
      </c>
      <c r="J92" s="17">
        <v>2</v>
      </c>
      <c r="K92" s="18">
        <v>49</v>
      </c>
      <c r="L92" s="18">
        <v>28.658799999999999</v>
      </c>
      <c r="M92" t="s">
        <v>60</v>
      </c>
      <c r="N92" s="19">
        <v>-62.211647105976084</v>
      </c>
      <c r="O92" s="19">
        <v>66.432813162363871</v>
      </c>
      <c r="P92">
        <v>2</v>
      </c>
      <c r="Q92" t="s">
        <v>5</v>
      </c>
      <c r="R92" s="3" t="s">
        <v>262</v>
      </c>
    </row>
    <row r="93" spans="1:18" ht="60">
      <c r="A93">
        <v>92</v>
      </c>
      <c r="B93" t="s">
        <v>8</v>
      </c>
      <c r="C93" s="15">
        <v>45357.041666666664</v>
      </c>
      <c r="D93" s="16">
        <v>-9.1817600000000006</v>
      </c>
      <c r="E93" s="16">
        <v>-2.8397269999999999</v>
      </c>
      <c r="F93" s="16">
        <v>5.0980000000000025E-2</v>
      </c>
      <c r="G93" s="16">
        <v>0</v>
      </c>
      <c r="H93" s="16">
        <v>5.4610000000000127</v>
      </c>
      <c r="I93" s="16">
        <v>0.27238699999999999</v>
      </c>
      <c r="J93" s="17">
        <v>2</v>
      </c>
      <c r="K93" s="18">
        <v>96</v>
      </c>
      <c r="L93" s="18">
        <v>66.620599999999996</v>
      </c>
      <c r="M93" t="s">
        <v>60</v>
      </c>
      <c r="N93" s="19">
        <v>-9.1817600000000006</v>
      </c>
      <c r="O93" s="19">
        <v>63.999449740052086</v>
      </c>
      <c r="P93">
        <v>1</v>
      </c>
      <c r="Q93" t="s">
        <v>7</v>
      </c>
      <c r="R93" s="3" t="s">
        <v>148</v>
      </c>
    </row>
    <row r="94" spans="1:18" ht="60">
      <c r="A94">
        <v>93</v>
      </c>
      <c r="B94" t="s">
        <v>8</v>
      </c>
      <c r="C94" s="15">
        <v>45359.8125</v>
      </c>
      <c r="D94" s="16">
        <v>-23.089690000000001</v>
      </c>
      <c r="E94" s="16">
        <v>63.361004999999999</v>
      </c>
      <c r="F94" s="16">
        <v>-30.076197999999998</v>
      </c>
      <c r="G94" s="16">
        <v>5.5613399999999997E-3</v>
      </c>
      <c r="H94" s="16">
        <v>5.8420000000000414</v>
      </c>
      <c r="I94" s="16">
        <v>0.412827</v>
      </c>
      <c r="J94" s="17">
        <v>0</v>
      </c>
      <c r="K94" s="18">
        <v>35</v>
      </c>
      <c r="L94" s="18">
        <v>64.445800000000006</v>
      </c>
      <c r="M94" t="s">
        <v>60</v>
      </c>
      <c r="N94" s="19">
        <v>-30.082685356187799</v>
      </c>
      <c r="O94" s="19">
        <v>63.447332043510926</v>
      </c>
      <c r="P94">
        <v>5</v>
      </c>
      <c r="Q94" t="s">
        <v>5</v>
      </c>
      <c r="R94" s="3" t="s">
        <v>149</v>
      </c>
    </row>
    <row r="95" spans="1:18" ht="60">
      <c r="A95">
        <v>94</v>
      </c>
      <c r="B95" t="s">
        <v>8</v>
      </c>
      <c r="C95" s="15">
        <v>45359.854166666664</v>
      </c>
      <c r="D95" s="16">
        <v>-15.2226</v>
      </c>
      <c r="E95" s="16">
        <v>-30.076197999999998</v>
      </c>
      <c r="F95" s="16">
        <v>-12.061914</v>
      </c>
      <c r="G95" s="16">
        <v>0</v>
      </c>
      <c r="H95" s="16">
        <v>5.7620000000000005</v>
      </c>
      <c r="I95" s="16">
        <v>0.44278400000000001</v>
      </c>
      <c r="J95" s="17">
        <v>2</v>
      </c>
      <c r="K95" s="18">
        <v>38</v>
      </c>
      <c r="L95" s="18">
        <v>61.066000000000003</v>
      </c>
      <c r="M95" t="s">
        <v>60</v>
      </c>
      <c r="N95" s="19">
        <v>-30.0918687066224</v>
      </c>
      <c r="O95" s="19">
        <v>63.438148693076322</v>
      </c>
      <c r="P95">
        <v>5</v>
      </c>
      <c r="Q95" t="s">
        <v>5</v>
      </c>
      <c r="R95" s="3" t="s">
        <v>150</v>
      </c>
    </row>
    <row r="96" spans="1:18" ht="60">
      <c r="A96">
        <v>95</v>
      </c>
      <c r="B96" t="s">
        <v>8</v>
      </c>
      <c r="C96" s="15">
        <v>45359.875</v>
      </c>
      <c r="D96" s="16">
        <v>-12.061914</v>
      </c>
      <c r="E96" s="16">
        <v>-15.2226</v>
      </c>
      <c r="F96" s="16">
        <v>-13.470321</v>
      </c>
      <c r="G96" s="16">
        <v>0</v>
      </c>
      <c r="H96" s="16">
        <v>5.6009999999999991</v>
      </c>
      <c r="I96" s="16">
        <v>0.34971400000000002</v>
      </c>
      <c r="J96" s="17">
        <v>1</v>
      </c>
      <c r="K96" s="18">
        <v>37</v>
      </c>
      <c r="L96" s="18">
        <v>41.917499999999997</v>
      </c>
      <c r="M96" t="s">
        <v>60</v>
      </c>
      <c r="N96" s="19">
        <v>-30.094453772130123</v>
      </c>
      <c r="O96" s="19">
        <v>63.435563627568598</v>
      </c>
      <c r="P96">
        <v>5</v>
      </c>
      <c r="Q96" t="s">
        <v>5</v>
      </c>
      <c r="R96" s="3" t="s">
        <v>151</v>
      </c>
    </row>
    <row r="97" spans="1:18" ht="60">
      <c r="A97">
        <v>96</v>
      </c>
      <c r="B97" t="s">
        <v>8</v>
      </c>
      <c r="C97" s="15">
        <v>45359.895833333336</v>
      </c>
      <c r="D97" s="16">
        <v>-13.470321</v>
      </c>
      <c r="E97" s="16">
        <v>-12.061914</v>
      </c>
      <c r="F97" s="16">
        <v>19.494903999999998</v>
      </c>
      <c r="G97" s="16">
        <v>0</v>
      </c>
      <c r="H97" s="16">
        <v>5.2000000000000455</v>
      </c>
      <c r="I97" s="16">
        <v>0.36677900000000002</v>
      </c>
      <c r="J97" s="17">
        <v>0</v>
      </c>
      <c r="K97" s="18">
        <v>37</v>
      </c>
      <c r="L97" s="18">
        <v>24.588799999999999</v>
      </c>
      <c r="M97" t="s">
        <v>60</v>
      </c>
      <c r="N97" s="19">
        <v>-30.093417056457547</v>
      </c>
      <c r="O97" s="19">
        <v>63.436600343241174</v>
      </c>
      <c r="P97">
        <v>5</v>
      </c>
      <c r="Q97" t="s">
        <v>5</v>
      </c>
      <c r="R97" s="3" t="s">
        <v>152</v>
      </c>
    </row>
    <row r="98" spans="1:18" ht="60">
      <c r="A98">
        <v>97</v>
      </c>
      <c r="B98" t="s">
        <v>8</v>
      </c>
      <c r="C98" s="15">
        <v>45360</v>
      </c>
      <c r="D98" s="16">
        <v>-14.0083</v>
      </c>
      <c r="E98" s="16">
        <v>21.839688000000002</v>
      </c>
      <c r="F98" s="16">
        <v>-11.962397000000001</v>
      </c>
      <c r="G98" s="16">
        <v>0</v>
      </c>
      <c r="H98" s="16">
        <v>4.5289999999999964</v>
      </c>
      <c r="I98" s="16">
        <v>0.48104200000000003</v>
      </c>
      <c r="J98" s="17">
        <v>2</v>
      </c>
      <c r="K98" s="18">
        <v>46</v>
      </c>
      <c r="L98" s="18">
        <v>3.81291</v>
      </c>
      <c r="M98" t="s">
        <v>55</v>
      </c>
      <c r="N98" s="19">
        <v>-15.162439888091992</v>
      </c>
      <c r="O98" s="19">
        <v>21.834266616676572</v>
      </c>
      <c r="P98">
        <v>2</v>
      </c>
      <c r="Q98" t="s">
        <v>5</v>
      </c>
      <c r="R98" s="3" t="s">
        <v>153</v>
      </c>
    </row>
    <row r="99" spans="1:18" ht="45">
      <c r="A99">
        <v>98</v>
      </c>
      <c r="B99" t="s">
        <v>8</v>
      </c>
      <c r="C99" s="15">
        <v>45360.020833333336</v>
      </c>
      <c r="D99" s="16">
        <v>-11.962397000000001</v>
      </c>
      <c r="E99" s="16">
        <v>-14.0083</v>
      </c>
      <c r="F99" s="16">
        <v>4.1933930000000004</v>
      </c>
      <c r="G99" s="16">
        <v>0</v>
      </c>
      <c r="H99" s="16">
        <v>4.4850000000000136</v>
      </c>
      <c r="I99" s="16">
        <v>0.43970399999999998</v>
      </c>
      <c r="J99" s="17">
        <v>1</v>
      </c>
      <c r="K99" s="18">
        <v>40</v>
      </c>
      <c r="L99" s="18">
        <v>2.4775800000000001</v>
      </c>
      <c r="M99" t="s">
        <v>55</v>
      </c>
      <c r="N99" s="19">
        <v>-15.162449504996445</v>
      </c>
      <c r="O99" s="19">
        <v>21.834256999772116</v>
      </c>
      <c r="P99">
        <v>2</v>
      </c>
      <c r="Q99" t="s">
        <v>5</v>
      </c>
      <c r="R99" s="3" t="s">
        <v>263</v>
      </c>
    </row>
    <row r="100" spans="1:18" ht="45">
      <c r="A100">
        <v>99</v>
      </c>
      <c r="B100" t="s">
        <v>8</v>
      </c>
      <c r="C100" s="15">
        <v>45360.0625</v>
      </c>
      <c r="D100" s="16">
        <v>-15.163017</v>
      </c>
      <c r="E100" s="16">
        <v>4.1933930000000004</v>
      </c>
      <c r="F100" s="16">
        <v>2.8600599999999998</v>
      </c>
      <c r="G100" s="16">
        <v>0</v>
      </c>
      <c r="H100" s="16">
        <v>4.5080000000000382</v>
      </c>
      <c r="I100" s="16">
        <v>0.50044500000000003</v>
      </c>
      <c r="J100" s="17">
        <v>2</v>
      </c>
      <c r="K100" s="18">
        <v>46</v>
      </c>
      <c r="L100" s="18">
        <v>5.4155600000000002</v>
      </c>
      <c r="M100" t="s">
        <v>60</v>
      </c>
      <c r="N100" s="19">
        <v>-45.736733082613995</v>
      </c>
      <c r="O100" s="19">
        <v>21.846177645785346</v>
      </c>
      <c r="P100">
        <v>1</v>
      </c>
      <c r="Q100" t="s">
        <v>5</v>
      </c>
      <c r="R100" s="3" t="s">
        <v>155</v>
      </c>
    </row>
    <row r="101" spans="1:18" ht="60">
      <c r="A101">
        <v>100</v>
      </c>
      <c r="B101" t="s">
        <v>8</v>
      </c>
      <c r="C101" s="15">
        <v>45364.9375</v>
      </c>
      <c r="D101" s="16">
        <v>-8.3407499999999999</v>
      </c>
      <c r="E101" s="16">
        <v>7.6140000000000008</v>
      </c>
      <c r="F101" s="16">
        <v>-10.67632</v>
      </c>
      <c r="G101" s="16">
        <v>0</v>
      </c>
      <c r="H101" s="16">
        <v>14.802000000000021</v>
      </c>
      <c r="I101" s="16">
        <v>0.215471</v>
      </c>
      <c r="J101" s="17">
        <v>2</v>
      </c>
      <c r="K101" s="18">
        <v>90</v>
      </c>
      <c r="L101" s="18">
        <v>349.86399999999998</v>
      </c>
      <c r="M101" t="s">
        <v>55</v>
      </c>
      <c r="N101" s="19">
        <v>-10.675965603338696</v>
      </c>
      <c r="O101" s="19">
        <v>8.1307842698634349</v>
      </c>
      <c r="P101">
        <v>2</v>
      </c>
      <c r="Q101" t="s">
        <v>7</v>
      </c>
      <c r="R101" s="3" t="s">
        <v>156</v>
      </c>
    </row>
    <row r="102" spans="1:18" ht="45">
      <c r="A102">
        <v>101</v>
      </c>
      <c r="B102" t="s">
        <v>8</v>
      </c>
      <c r="C102" s="15">
        <v>45364.958333333336</v>
      </c>
      <c r="D102" s="16">
        <v>-10.67632</v>
      </c>
      <c r="E102" s="16">
        <v>-8.3407499999999999</v>
      </c>
      <c r="F102" s="16">
        <v>3.7228000000000003</v>
      </c>
      <c r="G102" s="16">
        <v>0</v>
      </c>
      <c r="H102" s="16">
        <v>14.965000000000032</v>
      </c>
      <c r="I102" s="16">
        <v>0.32874999999999999</v>
      </c>
      <c r="J102" s="17">
        <v>2</v>
      </c>
      <c r="K102" s="18">
        <v>97</v>
      </c>
      <c r="L102" s="18">
        <v>6.6884700000000005E-2</v>
      </c>
      <c r="M102" t="s">
        <v>55</v>
      </c>
      <c r="N102" s="19">
        <v>-10.847128471316704</v>
      </c>
      <c r="O102" s="19">
        <v>8.1299754377623579</v>
      </c>
      <c r="P102">
        <v>2</v>
      </c>
      <c r="Q102" t="s">
        <v>5</v>
      </c>
      <c r="R102" s="3" t="s">
        <v>264</v>
      </c>
    </row>
    <row r="103" spans="1:18" ht="45">
      <c r="A103">
        <v>102</v>
      </c>
      <c r="B103" t="s">
        <v>8</v>
      </c>
      <c r="C103" s="15">
        <v>45365.083333333336</v>
      </c>
      <c r="D103" s="16">
        <v>-10.847110000000001</v>
      </c>
      <c r="E103" s="16">
        <v>8.1306700000000003</v>
      </c>
      <c r="F103" s="16">
        <v>2.6801300000000001</v>
      </c>
      <c r="G103" s="16">
        <v>0</v>
      </c>
      <c r="H103" s="16">
        <v>10.708000000000027</v>
      </c>
      <c r="I103" s="16">
        <v>0.227546</v>
      </c>
      <c r="J103" s="17">
        <v>2</v>
      </c>
      <c r="K103" s="18">
        <v>89</v>
      </c>
      <c r="L103" s="18">
        <v>99.996799999999993</v>
      </c>
      <c r="M103" t="s">
        <v>50</v>
      </c>
      <c r="N103" s="19">
        <v>-10.847110000000001</v>
      </c>
      <c r="O103" s="19">
        <v>42.327370492176954</v>
      </c>
      <c r="P103">
        <v>1</v>
      </c>
      <c r="Q103" t="s">
        <v>5</v>
      </c>
      <c r="R103" s="3" t="s">
        <v>265</v>
      </c>
    </row>
    <row r="104" spans="1:18" ht="60">
      <c r="A104">
        <v>103</v>
      </c>
      <c r="B104" t="s">
        <v>8</v>
      </c>
      <c r="C104" s="15">
        <v>45365.166666666664</v>
      </c>
      <c r="D104" s="16">
        <v>-8.0477799999999995</v>
      </c>
      <c r="E104" s="16">
        <v>42.361909999999995</v>
      </c>
      <c r="F104" s="16">
        <v>2.7375920000000002</v>
      </c>
      <c r="G104" s="16">
        <v>0</v>
      </c>
      <c r="H104" s="16">
        <v>10.016999999999996</v>
      </c>
      <c r="I104" s="16">
        <v>0.24198600000000001</v>
      </c>
      <c r="J104" s="17">
        <v>0</v>
      </c>
      <c r="K104" s="18">
        <v>98</v>
      </c>
      <c r="L104" s="18">
        <v>60.345999999999997</v>
      </c>
      <c r="M104" t="s">
        <v>50</v>
      </c>
      <c r="N104" s="19">
        <v>-10.845105558235776</v>
      </c>
      <c r="O104" s="19">
        <v>42.329380466505853</v>
      </c>
      <c r="P104">
        <v>1</v>
      </c>
      <c r="Q104" t="s">
        <v>7</v>
      </c>
      <c r="R104" s="3" t="s">
        <v>159</v>
      </c>
    </row>
    <row r="105" spans="1:18" ht="60">
      <c r="A105">
        <v>104</v>
      </c>
      <c r="B105" t="s">
        <v>8</v>
      </c>
      <c r="C105" s="15">
        <v>45372.270833333336</v>
      </c>
      <c r="D105" s="16">
        <v>-5.0270273999999997</v>
      </c>
      <c r="E105" s="16">
        <v>1.8393163800000001</v>
      </c>
      <c r="F105" s="16">
        <v>-17.340929000000003</v>
      </c>
      <c r="G105" s="16">
        <v>3.6981600000000002E-6</v>
      </c>
      <c r="H105" s="16">
        <v>-6.3979999999999677</v>
      </c>
      <c r="I105" s="16">
        <v>0.65208600000000005</v>
      </c>
      <c r="J105" s="17">
        <v>1</v>
      </c>
      <c r="K105" s="18">
        <v>100</v>
      </c>
      <c r="L105" s="18">
        <v>270.98500000000001</v>
      </c>
      <c r="M105" t="s">
        <v>55</v>
      </c>
      <c r="N105" s="19">
        <v>-17.337849168069781</v>
      </c>
      <c r="O105" s="19">
        <v>23.76501767159829</v>
      </c>
      <c r="P105">
        <v>2</v>
      </c>
      <c r="Q105" t="s">
        <v>7</v>
      </c>
      <c r="R105" s="3" t="s">
        <v>160</v>
      </c>
    </row>
    <row r="106" spans="1:18" ht="60">
      <c r="A106">
        <v>105</v>
      </c>
      <c r="B106" t="s">
        <v>8</v>
      </c>
      <c r="C106" s="15">
        <v>45372.291666666664</v>
      </c>
      <c r="D106" s="16">
        <v>-17.340929000000003</v>
      </c>
      <c r="E106" s="16">
        <v>-5.0270273999999997</v>
      </c>
      <c r="F106" s="16">
        <v>-3.8052079999999999</v>
      </c>
      <c r="G106" s="16">
        <v>4.57589E-4</v>
      </c>
      <c r="H106" s="16">
        <v>-6.9499999999999886</v>
      </c>
      <c r="I106" s="16">
        <v>0.60165800000000003</v>
      </c>
      <c r="J106" s="17">
        <v>1</v>
      </c>
      <c r="K106" s="18">
        <v>100</v>
      </c>
      <c r="L106" s="18">
        <v>307.99400000000003</v>
      </c>
      <c r="M106" t="s">
        <v>55</v>
      </c>
      <c r="N106" s="19">
        <v>-17.340929000000003</v>
      </c>
      <c r="O106" s="19">
        <v>21.313518570739806</v>
      </c>
      <c r="P106">
        <v>2</v>
      </c>
      <c r="Q106" t="s">
        <v>5</v>
      </c>
      <c r="R106" s="3" t="s">
        <v>161</v>
      </c>
    </row>
    <row r="107" spans="1:18" ht="60">
      <c r="A107">
        <v>106</v>
      </c>
      <c r="B107" t="s">
        <v>8</v>
      </c>
      <c r="C107" s="15">
        <v>45372.333333333336</v>
      </c>
      <c r="D107" s="16">
        <v>-5.4090930000000004</v>
      </c>
      <c r="E107" s="16">
        <v>-3.8052079999999999</v>
      </c>
      <c r="F107" s="16">
        <v>-8.1933430000000005</v>
      </c>
      <c r="G107" s="16">
        <v>9.1183800000000002</v>
      </c>
      <c r="H107" s="16">
        <v>-7.7109999999999559</v>
      </c>
      <c r="I107" s="16">
        <v>0.60424500000000003</v>
      </c>
      <c r="J107" s="17">
        <v>1</v>
      </c>
      <c r="K107" s="18">
        <v>100</v>
      </c>
      <c r="L107" s="18">
        <v>307.79000000000002</v>
      </c>
      <c r="M107" t="s">
        <v>55</v>
      </c>
      <c r="N107" s="19">
        <v>-17.340471063539411</v>
      </c>
      <c r="O107" s="19">
        <v>18.604392332858612</v>
      </c>
      <c r="P107">
        <v>2</v>
      </c>
      <c r="Q107" t="s">
        <v>7</v>
      </c>
      <c r="R107" s="3" t="s">
        <v>162</v>
      </c>
    </row>
    <row r="108" spans="1:18" ht="60">
      <c r="A108">
        <v>107</v>
      </c>
      <c r="B108" t="s">
        <v>8</v>
      </c>
      <c r="C108" s="15">
        <v>45377.125</v>
      </c>
      <c r="D108" s="16">
        <v>-13.134079999999999</v>
      </c>
      <c r="E108" s="16">
        <v>-34.455959999999997</v>
      </c>
      <c r="F108" s="16">
        <v>-7.213913999999999</v>
      </c>
      <c r="G108" s="16">
        <v>0</v>
      </c>
      <c r="H108" s="16">
        <v>11.951000000000022</v>
      </c>
      <c r="I108" s="16">
        <v>0.67555100000000001</v>
      </c>
      <c r="J108" s="17">
        <v>2</v>
      </c>
      <c r="K108" s="18">
        <v>69</v>
      </c>
      <c r="L108" s="18">
        <v>173.136</v>
      </c>
      <c r="M108" t="s">
        <v>60</v>
      </c>
      <c r="N108" s="19">
        <v>-37.353400785968731</v>
      </c>
      <c r="O108" s="19">
        <v>98.942942780387085</v>
      </c>
      <c r="P108">
        <v>3</v>
      </c>
      <c r="Q108" t="s">
        <v>5</v>
      </c>
      <c r="R108" s="3" t="s">
        <v>163</v>
      </c>
    </row>
    <row r="109" spans="1:18" ht="60">
      <c r="A109">
        <v>108</v>
      </c>
      <c r="B109" t="s">
        <v>8</v>
      </c>
      <c r="C109" s="15">
        <v>45377.145833333336</v>
      </c>
      <c r="D109" s="16">
        <v>-7.213913999999999</v>
      </c>
      <c r="E109" s="16">
        <v>-13.134079999999999</v>
      </c>
      <c r="F109" s="16">
        <v>16.39</v>
      </c>
      <c r="G109" s="16">
        <v>0</v>
      </c>
      <c r="H109" s="16">
        <v>10.51400000000001</v>
      </c>
      <c r="I109" s="16">
        <v>0.31198999999999999</v>
      </c>
      <c r="J109" s="17">
        <v>0</v>
      </c>
      <c r="K109" s="18">
        <v>69</v>
      </c>
      <c r="L109" s="18">
        <v>154.49700000000001</v>
      </c>
      <c r="M109" t="s">
        <v>60</v>
      </c>
      <c r="N109" s="19">
        <v>-37.34864785065686</v>
      </c>
      <c r="O109" s="19">
        <v>98.947695715698956</v>
      </c>
      <c r="P109">
        <v>3</v>
      </c>
      <c r="Q109" t="s">
        <v>7</v>
      </c>
      <c r="R109" s="3" t="s">
        <v>164</v>
      </c>
    </row>
    <row r="110" spans="1:18" ht="45">
      <c r="A110">
        <v>109</v>
      </c>
      <c r="B110" t="s">
        <v>8</v>
      </c>
      <c r="C110" s="15">
        <v>45377.208333333336</v>
      </c>
      <c r="D110" s="16">
        <v>-9.36876</v>
      </c>
      <c r="E110" s="16">
        <v>86.52055</v>
      </c>
      <c r="F110" s="16">
        <v>-37.381060000000005</v>
      </c>
      <c r="G110" s="16">
        <v>0</v>
      </c>
      <c r="H110" s="16">
        <v>8.1230000000000473</v>
      </c>
      <c r="I110" s="16">
        <v>0.57357800000000003</v>
      </c>
      <c r="J110" s="17">
        <v>2</v>
      </c>
      <c r="K110" s="18">
        <v>38</v>
      </c>
      <c r="L110" s="18">
        <v>138.27000000000001</v>
      </c>
      <c r="M110" t="s">
        <v>60</v>
      </c>
      <c r="N110" s="19">
        <v>-37.419596114432565</v>
      </c>
      <c r="O110" s="19">
        <v>105.51971345909256</v>
      </c>
      <c r="P110">
        <v>2</v>
      </c>
      <c r="Q110" t="s">
        <v>7</v>
      </c>
      <c r="R110" s="3" t="s">
        <v>266</v>
      </c>
    </row>
    <row r="111" spans="1:18" ht="45">
      <c r="A111">
        <v>110</v>
      </c>
      <c r="B111" t="s">
        <v>8</v>
      </c>
      <c r="C111" s="15">
        <v>45377.291666666664</v>
      </c>
      <c r="D111" s="16">
        <v>-6.46828</v>
      </c>
      <c r="E111" s="16">
        <v>-3.6419800000000002</v>
      </c>
      <c r="F111" s="16">
        <v>5.9899100000000001</v>
      </c>
      <c r="G111" s="16">
        <v>0</v>
      </c>
      <c r="H111" s="16">
        <v>8.3600000000000136</v>
      </c>
      <c r="I111" s="16">
        <v>0.68180600000000002</v>
      </c>
      <c r="J111" s="17">
        <v>2</v>
      </c>
      <c r="K111" s="18">
        <v>89</v>
      </c>
      <c r="L111" s="18">
        <v>141.15100000000001</v>
      </c>
      <c r="M111" t="s">
        <v>60</v>
      </c>
      <c r="N111" s="19">
        <v>-37.42360989488337</v>
      </c>
      <c r="O111" s="19">
        <v>105.51569967864175</v>
      </c>
      <c r="P111">
        <v>1</v>
      </c>
      <c r="Q111" t="s">
        <v>7</v>
      </c>
      <c r="R111" s="3" t="s">
        <v>267</v>
      </c>
    </row>
    <row r="112" spans="1:18" ht="60">
      <c r="A112">
        <v>111</v>
      </c>
      <c r="B112" t="s">
        <v>8</v>
      </c>
      <c r="C112" s="15">
        <v>45377.354166666664</v>
      </c>
      <c r="D112" s="16">
        <v>-21.111269999999998</v>
      </c>
      <c r="E112" s="16">
        <v>105.36000000000001</v>
      </c>
      <c r="F112" s="16">
        <v>14.556980000000001</v>
      </c>
      <c r="G112" s="16">
        <v>2.38314</v>
      </c>
      <c r="H112" s="16">
        <v>8.9120000000000346</v>
      </c>
      <c r="I112" s="16">
        <v>0.95838100000000004</v>
      </c>
      <c r="J112" s="17">
        <v>1</v>
      </c>
      <c r="K112" s="18">
        <v>56</v>
      </c>
      <c r="L112" s="18">
        <v>160.411</v>
      </c>
      <c r="M112" t="s">
        <v>60</v>
      </c>
      <c r="N112" s="19">
        <v>-37.402785713954273</v>
      </c>
      <c r="O112" s="19">
        <v>105.53652385957085</v>
      </c>
      <c r="P112">
        <v>1</v>
      </c>
      <c r="Q112" t="s">
        <v>5</v>
      </c>
      <c r="R112" s="3" t="s">
        <v>167</v>
      </c>
    </row>
    <row r="113" spans="1:18" ht="45">
      <c r="A113">
        <v>112</v>
      </c>
      <c r="B113" t="s">
        <v>8</v>
      </c>
      <c r="C113" s="15">
        <v>45377.958333333336</v>
      </c>
      <c r="D113" s="16">
        <v>-8.7175600000000006</v>
      </c>
      <c r="E113" s="16">
        <v>5.4893400000000003</v>
      </c>
      <c r="F113" s="16">
        <v>10.53411</v>
      </c>
      <c r="G113" s="16">
        <v>0</v>
      </c>
      <c r="H113" s="16">
        <v>3.4610000000000127</v>
      </c>
      <c r="I113" s="16">
        <v>0.74612500000000004</v>
      </c>
      <c r="J113" s="17">
        <v>2</v>
      </c>
      <c r="K113" s="18">
        <v>88</v>
      </c>
      <c r="L113" s="18">
        <v>242.45699999999999</v>
      </c>
      <c r="M113" t="s">
        <v>60</v>
      </c>
      <c r="N113" s="19">
        <v>-8.7175600000000006</v>
      </c>
      <c r="O113" s="19">
        <v>208.87175158764083</v>
      </c>
      <c r="P113">
        <v>1</v>
      </c>
      <c r="Q113" t="s">
        <v>5</v>
      </c>
      <c r="R113" s="3" t="s">
        <v>268</v>
      </c>
    </row>
    <row r="114" spans="1:18" ht="60">
      <c r="A114">
        <v>113</v>
      </c>
      <c r="B114" t="s">
        <v>8</v>
      </c>
      <c r="C114" s="15">
        <v>45381.875</v>
      </c>
      <c r="D114" s="16">
        <v>-8.5898859999999999</v>
      </c>
      <c r="E114" s="16">
        <v>-0.36241000000000012</v>
      </c>
      <c r="F114" s="16">
        <v>10.16832</v>
      </c>
      <c r="G114" s="16">
        <v>3.29459E-3</v>
      </c>
      <c r="H114" s="16">
        <v>4.2870000000000346</v>
      </c>
      <c r="I114" s="16">
        <v>0.308757</v>
      </c>
      <c r="J114" s="17">
        <v>1</v>
      </c>
      <c r="K114" s="18">
        <v>72</v>
      </c>
      <c r="L114" s="18">
        <v>332.82299999999998</v>
      </c>
      <c r="M114" t="s">
        <v>50</v>
      </c>
      <c r="N114" s="19">
        <v>-8.5898859999999999</v>
      </c>
      <c r="O114" s="19">
        <v>10.168747571212764</v>
      </c>
      <c r="P114">
        <v>1</v>
      </c>
      <c r="Q114" t="s">
        <v>7</v>
      </c>
      <c r="R114" s="3" t="s">
        <v>169</v>
      </c>
    </row>
    <row r="115" spans="1:18" ht="60">
      <c r="A115">
        <v>114</v>
      </c>
      <c r="B115" t="s">
        <v>8</v>
      </c>
      <c r="C115" s="15">
        <v>45381.9375</v>
      </c>
      <c r="D115" s="16">
        <v>-8.31006</v>
      </c>
      <c r="E115" s="16">
        <v>7.0666009999999995</v>
      </c>
      <c r="F115" s="16">
        <v>-1.01078</v>
      </c>
      <c r="G115" s="16">
        <v>0</v>
      </c>
      <c r="H115" s="16">
        <v>3.6840000000000259</v>
      </c>
      <c r="I115" s="16">
        <v>0.285912</v>
      </c>
      <c r="J115" s="17">
        <v>2</v>
      </c>
      <c r="K115" s="18">
        <v>62</v>
      </c>
      <c r="L115" s="18">
        <v>331.36</v>
      </c>
      <c r="M115" t="s">
        <v>50</v>
      </c>
      <c r="N115" s="19">
        <v>-8.5895449094504563</v>
      </c>
      <c r="O115" s="19">
        <v>10.169090613513458</v>
      </c>
      <c r="P115">
        <v>1</v>
      </c>
      <c r="Q115" t="s">
        <v>7</v>
      </c>
      <c r="R115" s="3" t="s">
        <v>170</v>
      </c>
    </row>
    <row r="116" spans="1:18" ht="60">
      <c r="A116">
        <v>115</v>
      </c>
      <c r="B116" t="s">
        <v>8</v>
      </c>
      <c r="C116" s="15">
        <v>45597.145833333336</v>
      </c>
      <c r="D116" s="16">
        <v>-17.537679999999998</v>
      </c>
      <c r="E116" s="16">
        <v>6.6183231750000004</v>
      </c>
      <c r="F116" s="16">
        <v>-6.5387000000000004</v>
      </c>
      <c r="G116" s="16">
        <v>0</v>
      </c>
      <c r="H116" s="16">
        <v>6.2180000000000177</v>
      </c>
      <c r="I116" s="16">
        <v>0.497365</v>
      </c>
      <c r="J116" s="17">
        <v>2</v>
      </c>
      <c r="K116" s="18">
        <v>89</v>
      </c>
      <c r="L116" s="18">
        <v>271.67599999999999</v>
      </c>
      <c r="M116" t="s">
        <v>55</v>
      </c>
      <c r="N116" s="19">
        <v>-17.537679999999998</v>
      </c>
      <c r="O116" s="19">
        <v>14.441132730328961</v>
      </c>
      <c r="P116">
        <v>2</v>
      </c>
      <c r="Q116" t="s">
        <v>5</v>
      </c>
      <c r="R116" s="3" t="s">
        <v>171</v>
      </c>
    </row>
    <row r="117" spans="1:18" ht="60">
      <c r="A117">
        <v>116</v>
      </c>
      <c r="B117" t="s">
        <v>8</v>
      </c>
      <c r="C117" s="15">
        <v>45597.166666666664</v>
      </c>
      <c r="D117" s="16">
        <v>-6.5387000000000004</v>
      </c>
      <c r="E117" s="16">
        <v>-17.537679999999998</v>
      </c>
      <c r="F117" s="16">
        <v>14.438269999999999</v>
      </c>
      <c r="G117" s="16">
        <v>0</v>
      </c>
      <c r="H117" s="16">
        <v>5.9460000000000264</v>
      </c>
      <c r="I117" s="16">
        <v>0.50089899999999998</v>
      </c>
      <c r="J117" s="17">
        <v>2</v>
      </c>
      <c r="K117" s="18">
        <v>84</v>
      </c>
      <c r="L117" s="18">
        <v>273.24700000000001</v>
      </c>
      <c r="M117" t="s">
        <v>55</v>
      </c>
      <c r="N117" s="19">
        <v>-17.538472416023506</v>
      </c>
      <c r="O117" s="19">
        <v>14.440343641556566</v>
      </c>
      <c r="P117">
        <v>2</v>
      </c>
      <c r="Q117" t="s">
        <v>7</v>
      </c>
      <c r="R117" s="3" t="s">
        <v>172</v>
      </c>
    </row>
    <row r="118" spans="1:18" ht="60">
      <c r="A118">
        <v>117</v>
      </c>
      <c r="B118" t="s">
        <v>8</v>
      </c>
      <c r="C118" s="15">
        <v>45597.354166666664</v>
      </c>
      <c r="D118" s="16">
        <v>-12.677367</v>
      </c>
      <c r="E118" s="16">
        <v>2.7016699999999996</v>
      </c>
      <c r="F118" s="16">
        <v>7.0443199999999999</v>
      </c>
      <c r="G118" s="16">
        <v>2.0869800000000001</v>
      </c>
      <c r="H118" s="16">
        <v>4.93100000000004</v>
      </c>
      <c r="I118" s="16">
        <v>0.49696099999999999</v>
      </c>
      <c r="J118" s="17">
        <v>2</v>
      </c>
      <c r="K118" s="18">
        <v>73</v>
      </c>
      <c r="L118" s="18">
        <v>317.24799999999999</v>
      </c>
      <c r="M118" t="s">
        <v>50</v>
      </c>
      <c r="N118" s="19">
        <v>-12.677367</v>
      </c>
      <c r="O118" s="19">
        <v>7.1891961224332697</v>
      </c>
      <c r="P118">
        <v>1</v>
      </c>
      <c r="Q118" t="s">
        <v>5</v>
      </c>
      <c r="R118" s="3" t="s">
        <v>173</v>
      </c>
    </row>
    <row r="119" spans="1:18" ht="60">
      <c r="A119">
        <v>118</v>
      </c>
      <c r="B119" t="s">
        <v>8</v>
      </c>
      <c r="C119" s="15">
        <v>45599.979166666664</v>
      </c>
      <c r="D119" s="16">
        <v>-22.516259999999999</v>
      </c>
      <c r="E119" s="16">
        <v>24.415713</v>
      </c>
      <c r="F119" s="16">
        <v>-24.266100000000002</v>
      </c>
      <c r="G119" s="16">
        <v>0</v>
      </c>
      <c r="H119" s="16">
        <v>12.408000000000015</v>
      </c>
      <c r="I119" s="16">
        <v>0.72479499999999997</v>
      </c>
      <c r="J119" s="17">
        <v>2</v>
      </c>
      <c r="K119" s="18">
        <v>90</v>
      </c>
      <c r="L119" s="18">
        <v>142.036</v>
      </c>
      <c r="M119" t="s">
        <v>55</v>
      </c>
      <c r="N119" s="19">
        <v>-24.265929696810037</v>
      </c>
      <c r="O119" s="19">
        <v>24.424316835006469</v>
      </c>
      <c r="P119">
        <v>3</v>
      </c>
      <c r="Q119" t="s">
        <v>5</v>
      </c>
      <c r="R119" s="3" t="s">
        <v>174</v>
      </c>
    </row>
    <row r="120" spans="1:18" ht="60">
      <c r="A120">
        <v>119</v>
      </c>
      <c r="B120" t="s">
        <v>8</v>
      </c>
      <c r="C120" s="15">
        <v>45600</v>
      </c>
      <c r="D120" s="16">
        <v>-24.266100000000002</v>
      </c>
      <c r="E120" s="16">
        <v>-22.516259999999999</v>
      </c>
      <c r="F120" s="16">
        <v>-20.630896</v>
      </c>
      <c r="G120" s="16">
        <v>0</v>
      </c>
      <c r="H120" s="16">
        <v>11.659000000000049</v>
      </c>
      <c r="I120" s="16">
        <v>0.70038400000000001</v>
      </c>
      <c r="J120" s="17">
        <v>1</v>
      </c>
      <c r="K120" s="18">
        <v>63</v>
      </c>
      <c r="L120" s="18">
        <v>154.9</v>
      </c>
      <c r="M120" t="s">
        <v>55</v>
      </c>
      <c r="N120" s="19">
        <v>-24.266100000000002</v>
      </c>
      <c r="O120" s="19">
        <v>24.424141465816657</v>
      </c>
      <c r="P120">
        <v>3</v>
      </c>
      <c r="Q120" t="s">
        <v>5</v>
      </c>
      <c r="R120" s="3" t="s">
        <v>175</v>
      </c>
    </row>
    <row r="121" spans="1:18" ht="60">
      <c r="A121">
        <v>120</v>
      </c>
      <c r="B121" t="s">
        <v>8</v>
      </c>
      <c r="C121" s="15">
        <v>45600.020833333336</v>
      </c>
      <c r="D121" s="16">
        <v>-20.630896</v>
      </c>
      <c r="E121" s="16">
        <v>-24.266100000000002</v>
      </c>
      <c r="F121" s="16">
        <v>7.8044600000000006</v>
      </c>
      <c r="G121" s="16">
        <v>0</v>
      </c>
      <c r="H121" s="16">
        <v>10.088000000000022</v>
      </c>
      <c r="I121" s="16">
        <v>0.51922199999999996</v>
      </c>
      <c r="J121" s="17">
        <v>0</v>
      </c>
      <c r="K121" s="18">
        <v>64</v>
      </c>
      <c r="L121" s="18">
        <v>148.142</v>
      </c>
      <c r="M121" t="s">
        <v>55</v>
      </c>
      <c r="N121" s="19">
        <v>-24.266358809481932</v>
      </c>
      <c r="O121" s="19">
        <v>24.423887722334573</v>
      </c>
      <c r="P121">
        <v>3</v>
      </c>
      <c r="Q121" t="s">
        <v>5</v>
      </c>
      <c r="R121" s="3" t="s">
        <v>176</v>
      </c>
    </row>
    <row r="122" spans="1:18" ht="60">
      <c r="A122">
        <v>121</v>
      </c>
      <c r="B122" t="s">
        <v>8</v>
      </c>
      <c r="C122" s="15">
        <v>45601</v>
      </c>
      <c r="D122" s="16">
        <v>-12.4964</v>
      </c>
      <c r="E122" s="16">
        <v>-42.680439999999997</v>
      </c>
      <c r="F122" s="16">
        <v>0.32336999999999994</v>
      </c>
      <c r="G122" s="16">
        <v>0</v>
      </c>
      <c r="H122" s="16">
        <v>16.65300000000002</v>
      </c>
      <c r="I122" s="16">
        <v>0.48766700000000002</v>
      </c>
      <c r="J122" s="17">
        <v>2</v>
      </c>
      <c r="K122" s="18">
        <v>61</v>
      </c>
      <c r="L122" s="18">
        <v>198.96100000000001</v>
      </c>
      <c r="M122" t="s">
        <v>60</v>
      </c>
      <c r="N122" s="19">
        <v>-42.6859531996218</v>
      </c>
      <c r="O122" s="19">
        <v>5.6512794946589144</v>
      </c>
      <c r="P122">
        <v>2</v>
      </c>
      <c r="Q122" t="s">
        <v>5</v>
      </c>
      <c r="R122" s="3" t="s">
        <v>177</v>
      </c>
    </row>
    <row r="123" spans="1:18" ht="45">
      <c r="A123">
        <v>122</v>
      </c>
      <c r="B123" t="s">
        <v>8</v>
      </c>
      <c r="C123" s="15">
        <v>45601.0625</v>
      </c>
      <c r="D123" s="16">
        <v>-17.915010000000002</v>
      </c>
      <c r="E123" s="16">
        <v>5.280951</v>
      </c>
      <c r="F123" s="16">
        <v>5.5619230000000002</v>
      </c>
      <c r="G123" s="16">
        <v>0</v>
      </c>
      <c r="H123" s="16">
        <v>16.724000000000046</v>
      </c>
      <c r="I123" s="16">
        <v>0.35126299999999999</v>
      </c>
      <c r="J123" s="17">
        <v>2</v>
      </c>
      <c r="K123" s="18">
        <v>64</v>
      </c>
      <c r="L123" s="18">
        <v>195.065</v>
      </c>
      <c r="M123" t="s">
        <v>60</v>
      </c>
      <c r="N123" s="19">
        <v>-42.679793947766797</v>
      </c>
      <c r="O123" s="19">
        <v>5.5619432238181457</v>
      </c>
      <c r="P123">
        <v>1</v>
      </c>
      <c r="Q123" t="s">
        <v>5</v>
      </c>
      <c r="R123" s="3" t="s">
        <v>178</v>
      </c>
    </row>
    <row r="124" spans="1:18" ht="60">
      <c r="A124">
        <v>123</v>
      </c>
      <c r="B124" t="s">
        <v>8</v>
      </c>
      <c r="C124" s="15">
        <v>45601.145833333336</v>
      </c>
      <c r="D124" s="16">
        <v>-7.8264379999999996</v>
      </c>
      <c r="E124" s="16">
        <v>-1.455306</v>
      </c>
      <c r="F124" s="16">
        <v>5.3838400000000002</v>
      </c>
      <c r="G124" s="16">
        <v>0</v>
      </c>
      <c r="H124" s="16">
        <v>17.047000000000025</v>
      </c>
      <c r="I124" s="16">
        <v>0.35180800000000001</v>
      </c>
      <c r="J124" s="17">
        <v>1</v>
      </c>
      <c r="K124" s="18">
        <v>77</v>
      </c>
      <c r="L124" s="18">
        <v>189.99799999999999</v>
      </c>
      <c r="M124" t="s">
        <v>58</v>
      </c>
      <c r="N124" s="19">
        <v>-20.413844954383787</v>
      </c>
      <c r="O124" s="19">
        <v>28.89844353166373</v>
      </c>
      <c r="P124">
        <v>1</v>
      </c>
      <c r="Q124" t="s">
        <v>7</v>
      </c>
      <c r="R124" s="3" t="s">
        <v>179</v>
      </c>
    </row>
    <row r="125" spans="1:18" ht="60">
      <c r="A125">
        <v>124</v>
      </c>
      <c r="B125" t="s">
        <v>8</v>
      </c>
      <c r="C125" s="15">
        <v>45601.25</v>
      </c>
      <c r="D125" s="16">
        <v>-20.414559999999998</v>
      </c>
      <c r="E125" s="16">
        <v>15.468715</v>
      </c>
      <c r="F125" s="16">
        <v>-3.00102</v>
      </c>
      <c r="G125" s="16">
        <v>0</v>
      </c>
      <c r="H125" s="16">
        <v>16.819000000000017</v>
      </c>
      <c r="I125" s="16">
        <v>0.62876699999999996</v>
      </c>
      <c r="J125" s="17">
        <v>2</v>
      </c>
      <c r="K125" s="18">
        <v>74</v>
      </c>
      <c r="L125" s="18">
        <v>178.96899999999999</v>
      </c>
      <c r="M125" t="s">
        <v>50</v>
      </c>
      <c r="N125" s="19">
        <v>-20.414559999999998</v>
      </c>
      <c r="O125" s="19">
        <v>28.897723355327027</v>
      </c>
      <c r="P125">
        <v>1</v>
      </c>
      <c r="Q125" t="s">
        <v>5</v>
      </c>
      <c r="R125" s="3" t="s">
        <v>180</v>
      </c>
    </row>
    <row r="126" spans="1:18" ht="60">
      <c r="A126">
        <v>125</v>
      </c>
      <c r="B126" t="s">
        <v>8</v>
      </c>
      <c r="C126" s="15">
        <v>45601.708333333336</v>
      </c>
      <c r="D126" s="16">
        <v>-7.0359900000000009</v>
      </c>
      <c r="E126" s="16">
        <v>5.4676176000000005</v>
      </c>
      <c r="F126" s="16">
        <v>16.009370000000001</v>
      </c>
      <c r="G126" s="16">
        <v>6.0705900000000002</v>
      </c>
      <c r="H126" s="16">
        <v>18.799000000000035</v>
      </c>
      <c r="I126" s="16">
        <v>0.53651700000000002</v>
      </c>
      <c r="J126" s="17">
        <v>2</v>
      </c>
      <c r="K126" s="18">
        <v>88</v>
      </c>
      <c r="L126" s="18">
        <v>192.858</v>
      </c>
      <c r="M126" t="s">
        <v>50</v>
      </c>
      <c r="N126" s="19">
        <v>-15.710134948783734</v>
      </c>
      <c r="O126" s="19">
        <v>30.640981006385154</v>
      </c>
      <c r="P126">
        <v>1</v>
      </c>
      <c r="Q126" t="s">
        <v>7</v>
      </c>
      <c r="R126" s="3" t="s">
        <v>181</v>
      </c>
    </row>
    <row r="127" spans="1:18" ht="60">
      <c r="A127">
        <v>126</v>
      </c>
      <c r="B127" t="s">
        <v>8</v>
      </c>
      <c r="C127" s="15">
        <v>45601.75</v>
      </c>
      <c r="D127" s="16">
        <v>-15.711450000000001</v>
      </c>
      <c r="E127" s="16">
        <v>16.009370000000001</v>
      </c>
      <c r="F127" s="16">
        <v>-5.24275</v>
      </c>
      <c r="G127" s="16">
        <v>0.108553</v>
      </c>
      <c r="H127" s="16">
        <v>17.637</v>
      </c>
      <c r="I127" s="16">
        <v>0.53912400000000005</v>
      </c>
      <c r="J127" s="17">
        <v>2</v>
      </c>
      <c r="K127" s="18">
        <v>59</v>
      </c>
      <c r="L127" s="18">
        <v>180.685</v>
      </c>
      <c r="M127" t="s">
        <v>55</v>
      </c>
      <c r="N127" s="19">
        <v>-29.202467733038613</v>
      </c>
      <c r="O127" s="19">
        <v>30.607843018300578</v>
      </c>
      <c r="P127">
        <v>2</v>
      </c>
      <c r="Q127" t="s">
        <v>5</v>
      </c>
      <c r="R127" s="3" t="s">
        <v>182</v>
      </c>
    </row>
    <row r="128" spans="1:18" ht="60">
      <c r="A128">
        <v>127</v>
      </c>
      <c r="B128" t="s">
        <v>8</v>
      </c>
      <c r="C128" s="15">
        <v>45601.770833333336</v>
      </c>
      <c r="D128" s="16">
        <v>-5.24275</v>
      </c>
      <c r="E128" s="16">
        <v>-15.711450000000001</v>
      </c>
      <c r="F128" s="16">
        <v>6.7008020000000004</v>
      </c>
      <c r="G128" s="16">
        <v>2.9881299999999999E-4</v>
      </c>
      <c r="H128" s="16">
        <v>17.203000000000031</v>
      </c>
      <c r="I128" s="16">
        <v>0.52144000000000001</v>
      </c>
      <c r="J128" s="17">
        <v>0</v>
      </c>
      <c r="K128" s="18">
        <v>61</v>
      </c>
      <c r="L128" s="18">
        <v>174.47499999999999</v>
      </c>
      <c r="M128" t="s">
        <v>55</v>
      </c>
      <c r="N128" s="19">
        <v>-29.194611421430992</v>
      </c>
      <c r="O128" s="19">
        <v>30.615699329908203</v>
      </c>
      <c r="P128">
        <v>2</v>
      </c>
      <c r="Q128" t="s">
        <v>7</v>
      </c>
      <c r="R128" s="3" t="s">
        <v>183</v>
      </c>
    </row>
    <row r="129" spans="1:18" ht="60">
      <c r="A129">
        <v>128</v>
      </c>
      <c r="B129" t="s">
        <v>8</v>
      </c>
      <c r="C129" s="15">
        <v>45601.854166666664</v>
      </c>
      <c r="D129" s="16">
        <v>-29.212183</v>
      </c>
      <c r="E129" s="16">
        <v>30.640750999999998</v>
      </c>
      <c r="F129" s="16">
        <v>24.18233</v>
      </c>
      <c r="G129" s="16">
        <v>0</v>
      </c>
      <c r="H129" s="16">
        <v>17.170000000000016</v>
      </c>
      <c r="I129" s="16">
        <v>0.60042499999999999</v>
      </c>
      <c r="J129" s="17">
        <v>1</v>
      </c>
      <c r="K129" s="18">
        <v>65</v>
      </c>
      <c r="L129" s="18">
        <v>200.13300000000001</v>
      </c>
      <c r="M129" t="s">
        <v>50</v>
      </c>
      <c r="N129" s="19">
        <v>-29.212183</v>
      </c>
      <c r="O129" s="19">
        <v>30.598121528346979</v>
      </c>
      <c r="P129">
        <v>1</v>
      </c>
      <c r="Q129" t="s">
        <v>5</v>
      </c>
      <c r="R129" s="3" t="s">
        <v>184</v>
      </c>
    </row>
    <row r="130" spans="1:18" ht="45">
      <c r="A130">
        <v>129</v>
      </c>
      <c r="B130" t="s">
        <v>8</v>
      </c>
      <c r="C130" s="15">
        <v>45601.916666666664</v>
      </c>
      <c r="D130" s="16">
        <v>-11.53387</v>
      </c>
      <c r="E130" s="16">
        <v>13.414705</v>
      </c>
      <c r="F130" s="16">
        <v>5.9188499999999991</v>
      </c>
      <c r="G130" s="16">
        <v>0</v>
      </c>
      <c r="H130" s="16">
        <v>15.504000000000019</v>
      </c>
      <c r="I130" s="16">
        <v>0.40143099999999998</v>
      </c>
      <c r="J130" s="17">
        <v>1</v>
      </c>
      <c r="K130" s="18">
        <v>66</v>
      </c>
      <c r="L130" s="18">
        <v>227.54300000000001</v>
      </c>
      <c r="M130" t="s">
        <v>50</v>
      </c>
      <c r="N130" s="19">
        <v>-29.199028213354044</v>
      </c>
      <c r="O130" s="19">
        <v>30.611282537985147</v>
      </c>
      <c r="P130">
        <v>1</v>
      </c>
      <c r="Q130" t="s">
        <v>5</v>
      </c>
      <c r="R130" s="3" t="s">
        <v>269</v>
      </c>
    </row>
    <row r="131" spans="1:18" ht="60">
      <c r="A131">
        <v>130</v>
      </c>
      <c r="B131" t="s">
        <v>8</v>
      </c>
      <c r="C131" s="15">
        <v>45612.291666666664</v>
      </c>
      <c r="D131" s="16">
        <v>-7.3031119999999996</v>
      </c>
      <c r="E131" s="16">
        <v>1.9716900000000002</v>
      </c>
      <c r="F131" s="16">
        <v>10.458719</v>
      </c>
      <c r="G131" s="16">
        <v>1.05546E-3</v>
      </c>
      <c r="H131" s="16">
        <v>7.0430000000000064</v>
      </c>
      <c r="I131" s="16">
        <v>0.20325299999999999</v>
      </c>
      <c r="J131" s="17">
        <v>1</v>
      </c>
      <c r="K131" s="18">
        <v>100</v>
      </c>
      <c r="L131" s="18">
        <v>135.29300000000001</v>
      </c>
      <c r="M131" t="s">
        <v>50</v>
      </c>
      <c r="N131" s="19">
        <v>-7.3031119999999996</v>
      </c>
      <c r="O131" s="19">
        <v>10.460331296667389</v>
      </c>
      <c r="P131">
        <v>1</v>
      </c>
      <c r="Q131" t="s">
        <v>7</v>
      </c>
      <c r="R131" s="3" t="s">
        <v>186</v>
      </c>
    </row>
    <row r="132" spans="1:18" ht="75">
      <c r="A132">
        <v>131</v>
      </c>
      <c r="B132" t="s">
        <v>8</v>
      </c>
      <c r="C132" s="15">
        <v>45614.1875</v>
      </c>
      <c r="D132" s="16">
        <v>-14.21203</v>
      </c>
      <c r="E132" s="16">
        <v>7.2145540000000006</v>
      </c>
      <c r="F132" s="16">
        <v>6.3238699999999994</v>
      </c>
      <c r="G132" s="16">
        <v>1.3853400000000001E-3</v>
      </c>
      <c r="H132" s="16">
        <v>3.3140000000000214</v>
      </c>
      <c r="I132" s="16">
        <v>0.113579</v>
      </c>
      <c r="J132" s="17">
        <v>1</v>
      </c>
      <c r="K132" s="18">
        <v>15</v>
      </c>
      <c r="L132" s="18">
        <v>121.66800000000001</v>
      </c>
      <c r="M132" t="s">
        <v>50</v>
      </c>
      <c r="N132" s="19">
        <v>-14.21203</v>
      </c>
      <c r="O132" s="19">
        <v>19.925567036893909</v>
      </c>
      <c r="P132">
        <v>1</v>
      </c>
      <c r="Q132" t="s">
        <v>5</v>
      </c>
      <c r="R132" s="3" t="s">
        <v>187</v>
      </c>
    </row>
    <row r="133" spans="1:18" ht="60">
      <c r="A133">
        <v>132</v>
      </c>
      <c r="B133" t="s">
        <v>8</v>
      </c>
      <c r="C133" s="15">
        <v>45614.729166666664</v>
      </c>
      <c r="D133" s="16">
        <v>-12.289719999999999</v>
      </c>
      <c r="E133" s="16">
        <v>9.3011900000000001</v>
      </c>
      <c r="F133" s="16">
        <v>10.63442</v>
      </c>
      <c r="G133" s="16">
        <v>1.7600800000000001</v>
      </c>
      <c r="H133" s="16">
        <v>10.769000000000005</v>
      </c>
      <c r="I133" s="16">
        <v>0.33309499999999997</v>
      </c>
      <c r="J133" s="17">
        <v>2</v>
      </c>
      <c r="K133" s="18">
        <v>95</v>
      </c>
      <c r="L133" s="18">
        <v>112.348</v>
      </c>
      <c r="M133" t="s">
        <v>50</v>
      </c>
      <c r="N133" s="19">
        <v>-12.289719999999999</v>
      </c>
      <c r="O133" s="19">
        <v>43.093495127844015</v>
      </c>
      <c r="P133">
        <v>1</v>
      </c>
      <c r="Q133" t="s">
        <v>5</v>
      </c>
      <c r="R133" s="3" t="s">
        <v>188</v>
      </c>
    </row>
    <row r="134" spans="1:18" ht="60">
      <c r="A134">
        <v>133</v>
      </c>
      <c r="B134" t="s">
        <v>8</v>
      </c>
      <c r="C134" s="15">
        <v>45614.791666666664</v>
      </c>
      <c r="D134" s="16">
        <v>-8.0952200000000012</v>
      </c>
      <c r="E134" s="16">
        <v>8.3936469999999996</v>
      </c>
      <c r="F134" s="16">
        <v>2.1739869999999999</v>
      </c>
      <c r="G134" s="16">
        <v>0</v>
      </c>
      <c r="H134" s="16">
        <v>9.6890000000000214</v>
      </c>
      <c r="I134" s="16">
        <v>0.39614700000000003</v>
      </c>
      <c r="J134" s="17">
        <v>2</v>
      </c>
      <c r="K134" s="18">
        <v>80</v>
      </c>
      <c r="L134" s="18">
        <v>111.462</v>
      </c>
      <c r="M134" t="s">
        <v>50</v>
      </c>
      <c r="N134" s="19">
        <v>-12.290832989772941</v>
      </c>
      <c r="O134" s="19">
        <v>43.092387900444621</v>
      </c>
      <c r="P134">
        <v>1</v>
      </c>
      <c r="Q134" t="s">
        <v>7</v>
      </c>
      <c r="R134" s="3" t="s">
        <v>189</v>
      </c>
    </row>
    <row r="135" spans="1:18" ht="60">
      <c r="A135">
        <v>134</v>
      </c>
      <c r="B135" t="s">
        <v>8</v>
      </c>
      <c r="C135" s="15">
        <v>45614.833333333336</v>
      </c>
      <c r="D135" s="16">
        <v>-8.7024799999999995</v>
      </c>
      <c r="E135" s="16">
        <v>2.1739869999999999</v>
      </c>
      <c r="F135" s="16">
        <v>43.076549999999997</v>
      </c>
      <c r="G135" s="16">
        <v>0</v>
      </c>
      <c r="H135" s="16">
        <v>8.65300000000002</v>
      </c>
      <c r="I135" s="16">
        <v>0.472001</v>
      </c>
      <c r="J135" s="17">
        <v>2</v>
      </c>
      <c r="K135" s="18">
        <v>66</v>
      </c>
      <c r="L135" s="18">
        <v>117.971</v>
      </c>
      <c r="M135" t="s">
        <v>50</v>
      </c>
      <c r="N135" s="19">
        <v>-12.290093432323227</v>
      </c>
      <c r="O135" s="19">
        <v>43.093127457894333</v>
      </c>
      <c r="P135">
        <v>1</v>
      </c>
      <c r="Q135" t="s">
        <v>7</v>
      </c>
      <c r="R135" s="3" t="s">
        <v>190</v>
      </c>
    </row>
    <row r="136" spans="1:18" ht="45">
      <c r="A136">
        <v>135</v>
      </c>
      <c r="B136" t="s">
        <v>8</v>
      </c>
      <c r="C136" s="15">
        <v>45614.895833333336</v>
      </c>
      <c r="D136" s="16">
        <v>-10.0532</v>
      </c>
      <c r="E136" s="16">
        <v>40.073729999999998</v>
      </c>
      <c r="F136" s="16">
        <v>32.700808000000002</v>
      </c>
      <c r="G136" s="16">
        <v>0</v>
      </c>
      <c r="H136" s="16">
        <v>8.3600000000000136</v>
      </c>
      <c r="I136" s="16">
        <v>0.58122200000000002</v>
      </c>
      <c r="J136" s="17">
        <v>2</v>
      </c>
      <c r="K136" s="18">
        <v>60</v>
      </c>
      <c r="L136" s="18">
        <v>116.3</v>
      </c>
      <c r="M136" t="s">
        <v>50</v>
      </c>
      <c r="N136" s="19">
        <v>-11.849084357862445</v>
      </c>
      <c r="O136" s="19">
        <v>43.077856364912343</v>
      </c>
      <c r="P136">
        <v>1</v>
      </c>
      <c r="Q136" t="s">
        <v>5</v>
      </c>
      <c r="R136" s="3" t="s">
        <v>270</v>
      </c>
    </row>
    <row r="137" spans="1:18" ht="45">
      <c r="A137">
        <v>136</v>
      </c>
      <c r="B137" t="s">
        <v>8</v>
      </c>
      <c r="C137" s="15">
        <v>45615</v>
      </c>
      <c r="D137" s="16">
        <v>-11.84878</v>
      </c>
      <c r="E137" s="16">
        <v>1.3973000000000004</v>
      </c>
      <c r="F137" s="16">
        <v>-0.69921000000000011</v>
      </c>
      <c r="G137" s="16">
        <v>0</v>
      </c>
      <c r="H137" s="16">
        <v>8.9110000000000014</v>
      </c>
      <c r="I137" s="16">
        <v>0.65986199999999995</v>
      </c>
      <c r="J137" s="17">
        <v>2</v>
      </c>
      <c r="K137" s="18">
        <v>85</v>
      </c>
      <c r="L137" s="18">
        <v>116.35899999999999</v>
      </c>
      <c r="M137" t="s">
        <v>50</v>
      </c>
      <c r="N137" s="19">
        <v>-11.84878</v>
      </c>
      <c r="O137" s="19">
        <v>40.046100694236863</v>
      </c>
      <c r="P137">
        <v>1</v>
      </c>
      <c r="Q137" t="s">
        <v>5</v>
      </c>
      <c r="R137" s="3" t="s">
        <v>271</v>
      </c>
    </row>
    <row r="138" spans="1:18" ht="60">
      <c r="A138">
        <v>137</v>
      </c>
      <c r="B138" t="s">
        <v>8</v>
      </c>
      <c r="C138" s="15">
        <v>45615.083333333336</v>
      </c>
      <c r="D138" s="16">
        <v>-7.3658199999999994</v>
      </c>
      <c r="E138" s="16">
        <v>3.8559840000000003</v>
      </c>
      <c r="F138" s="16">
        <v>1.45678</v>
      </c>
      <c r="G138" s="16">
        <v>7.4456900000000002E-5</v>
      </c>
      <c r="H138" s="16">
        <v>9.1200000000000045</v>
      </c>
      <c r="I138" s="16">
        <v>0.66270099999999998</v>
      </c>
      <c r="J138" s="17">
        <v>2</v>
      </c>
      <c r="K138" s="18">
        <v>93</v>
      </c>
      <c r="L138" s="18">
        <v>116.408</v>
      </c>
      <c r="M138" t="s">
        <v>60</v>
      </c>
      <c r="N138" s="19">
        <v>-11.849510325771305</v>
      </c>
      <c r="O138" s="19">
        <v>60.608309482257937</v>
      </c>
      <c r="P138">
        <v>1</v>
      </c>
      <c r="Q138" t="s">
        <v>7</v>
      </c>
      <c r="R138" s="3" t="s">
        <v>193</v>
      </c>
    </row>
    <row r="139" spans="1:18" ht="60">
      <c r="A139">
        <v>138</v>
      </c>
      <c r="B139" t="s">
        <v>8</v>
      </c>
      <c r="C139" s="15">
        <v>45615.333333333336</v>
      </c>
      <c r="D139" s="16">
        <v>-27.83868</v>
      </c>
      <c r="E139" s="16">
        <v>-46.313219999999994</v>
      </c>
      <c r="F139" s="16">
        <v>0.76210000000000022</v>
      </c>
      <c r="G139" s="16">
        <v>0.55011900000000002</v>
      </c>
      <c r="H139" s="16">
        <v>10.691000000000031</v>
      </c>
      <c r="I139" s="16">
        <v>0.65553399999999995</v>
      </c>
      <c r="J139" s="17">
        <v>2</v>
      </c>
      <c r="K139" s="18">
        <v>40</v>
      </c>
      <c r="L139" s="18">
        <v>127.599</v>
      </c>
      <c r="M139" t="s">
        <v>60</v>
      </c>
      <c r="N139" s="19">
        <v>-46.315318091721565</v>
      </c>
      <c r="O139" s="19">
        <v>60.575833165679811</v>
      </c>
      <c r="P139">
        <v>2</v>
      </c>
      <c r="Q139" t="s">
        <v>5</v>
      </c>
      <c r="R139" s="3" t="s">
        <v>194</v>
      </c>
    </row>
    <row r="140" spans="1:18" ht="60">
      <c r="A140">
        <v>139</v>
      </c>
      <c r="B140" t="s">
        <v>8</v>
      </c>
      <c r="C140" s="15">
        <v>45617.083333333336</v>
      </c>
      <c r="D140" s="16">
        <v>-5.2560900000000004</v>
      </c>
      <c r="E140" s="16">
        <v>1.4603630000000001</v>
      </c>
      <c r="F140" s="16">
        <v>-12.576912</v>
      </c>
      <c r="G140" s="16">
        <v>0</v>
      </c>
      <c r="H140" s="16">
        <v>0.67900000000003047</v>
      </c>
      <c r="I140" s="16">
        <v>0.40053</v>
      </c>
      <c r="J140" s="17">
        <v>1</v>
      </c>
      <c r="K140" s="18">
        <v>52</v>
      </c>
      <c r="L140" s="18">
        <v>246.56399999999999</v>
      </c>
      <c r="M140" t="s">
        <v>55</v>
      </c>
      <c r="N140" s="19">
        <v>-28.616946344040358</v>
      </c>
      <c r="O140" s="19">
        <v>36.795681028151876</v>
      </c>
      <c r="P140">
        <v>2</v>
      </c>
      <c r="Q140" t="s">
        <v>7</v>
      </c>
      <c r="R140" s="3" t="s">
        <v>195</v>
      </c>
    </row>
    <row r="141" spans="1:18" ht="60">
      <c r="A141">
        <v>140</v>
      </c>
      <c r="B141" t="s">
        <v>8</v>
      </c>
      <c r="C141" s="15">
        <v>45617.104166666664</v>
      </c>
      <c r="D141" s="16">
        <v>-12.576912</v>
      </c>
      <c r="E141" s="16">
        <v>-5.2560900000000004</v>
      </c>
      <c r="F141" s="16">
        <v>36.809080000000002</v>
      </c>
      <c r="G141" s="16">
        <v>0</v>
      </c>
      <c r="H141" s="16">
        <v>0.47599999999999909</v>
      </c>
      <c r="I141" s="16">
        <v>0.36028100000000002</v>
      </c>
      <c r="J141" s="17">
        <v>1</v>
      </c>
      <c r="K141" s="18">
        <v>49</v>
      </c>
      <c r="L141" s="18">
        <v>253.00399999999999</v>
      </c>
      <c r="M141" t="s">
        <v>60</v>
      </c>
      <c r="N141" s="19">
        <v>-70.339846226846447</v>
      </c>
      <c r="O141" s="19">
        <v>36.863679342678935</v>
      </c>
      <c r="P141">
        <v>2</v>
      </c>
      <c r="Q141" t="s">
        <v>5</v>
      </c>
      <c r="R141" s="3" t="s">
        <v>196</v>
      </c>
    </row>
    <row r="142" spans="1:18" ht="60">
      <c r="A142">
        <v>141</v>
      </c>
      <c r="B142" t="s">
        <v>8</v>
      </c>
      <c r="C142" s="15">
        <v>45617.166666666664</v>
      </c>
      <c r="D142" s="16">
        <v>-28.627099999999999</v>
      </c>
      <c r="E142" s="16">
        <v>4.7290999999999999</v>
      </c>
      <c r="F142" s="16">
        <v>-0.68841999999999981</v>
      </c>
      <c r="G142" s="16">
        <v>1.24506E-4</v>
      </c>
      <c r="H142" s="16">
        <v>8.6000000000012733E-2</v>
      </c>
      <c r="I142" s="16">
        <v>0.441826</v>
      </c>
      <c r="J142" s="17">
        <v>2</v>
      </c>
      <c r="K142" s="18">
        <v>75</v>
      </c>
      <c r="L142" s="18">
        <v>263.51299999999998</v>
      </c>
      <c r="M142" t="s">
        <v>60</v>
      </c>
      <c r="N142" s="19">
        <v>-70.322848971597352</v>
      </c>
      <c r="O142" s="19">
        <v>36.88067659792803</v>
      </c>
      <c r="P142">
        <v>1</v>
      </c>
      <c r="Q142" t="s">
        <v>5</v>
      </c>
      <c r="R142" s="3" t="s">
        <v>197</v>
      </c>
    </row>
    <row r="143" spans="1:18" ht="60">
      <c r="A143">
        <v>142</v>
      </c>
      <c r="B143" t="s">
        <v>8</v>
      </c>
      <c r="C143" s="15">
        <v>45618.8125</v>
      </c>
      <c r="D143" s="16">
        <v>-6.4239229999999994</v>
      </c>
      <c r="E143" s="16">
        <v>3.1814483</v>
      </c>
      <c r="F143" s="16">
        <v>39.741709999999998</v>
      </c>
      <c r="G143" s="16">
        <v>0</v>
      </c>
      <c r="H143" s="16">
        <v>6.2530000000000427</v>
      </c>
      <c r="I143" s="16">
        <v>0.60058</v>
      </c>
      <c r="J143" s="17">
        <v>2</v>
      </c>
      <c r="K143" s="18">
        <v>100</v>
      </c>
      <c r="L143" s="18">
        <v>331.52100000000002</v>
      </c>
      <c r="M143" t="s">
        <v>50</v>
      </c>
      <c r="N143" s="19">
        <v>-12.228312249000231</v>
      </c>
      <c r="O143" s="19">
        <v>39.740090954584872</v>
      </c>
      <c r="P143">
        <v>1</v>
      </c>
      <c r="Q143" t="s">
        <v>7</v>
      </c>
      <c r="R143" s="3" t="s">
        <v>198</v>
      </c>
    </row>
    <row r="144" spans="1:18" ht="60">
      <c r="A144">
        <v>143</v>
      </c>
      <c r="B144" t="s">
        <v>8</v>
      </c>
      <c r="C144" s="15">
        <v>45618.916666666664</v>
      </c>
      <c r="D144" s="16">
        <v>-12.228940000000001</v>
      </c>
      <c r="E144" s="16">
        <v>6.9237799999999998</v>
      </c>
      <c r="F144" s="16">
        <v>-4.5444200000000006</v>
      </c>
      <c r="G144" s="16">
        <v>0</v>
      </c>
      <c r="H144" s="16">
        <v>5.424000000000035</v>
      </c>
      <c r="I144" s="16">
        <v>0.48252600000000001</v>
      </c>
      <c r="J144" s="17">
        <v>2</v>
      </c>
      <c r="K144" s="18">
        <v>90</v>
      </c>
      <c r="L144" s="18">
        <v>331.58499999999998</v>
      </c>
      <c r="M144" t="s">
        <v>50</v>
      </c>
      <c r="N144" s="19">
        <v>-12.228940000000001</v>
      </c>
      <c r="O144" s="19">
        <v>39.739457796507892</v>
      </c>
      <c r="P144">
        <v>1</v>
      </c>
      <c r="Q144" t="s">
        <v>5</v>
      </c>
      <c r="R144" s="3" t="s">
        <v>199</v>
      </c>
    </row>
    <row r="145" spans="1:18" ht="60">
      <c r="A145">
        <v>144</v>
      </c>
      <c r="B145" t="s">
        <v>8</v>
      </c>
      <c r="C145" s="15">
        <v>45618.958333333336</v>
      </c>
      <c r="D145" s="16">
        <v>-5.9558670000000005</v>
      </c>
      <c r="E145" s="16">
        <v>-4.5444200000000006</v>
      </c>
      <c r="F145" s="16">
        <v>27.7501</v>
      </c>
      <c r="G145" s="16">
        <v>0</v>
      </c>
      <c r="H145" s="16">
        <v>5.3140000000000214</v>
      </c>
      <c r="I145" s="16">
        <v>0.35325200000000001</v>
      </c>
      <c r="J145" s="17">
        <v>2</v>
      </c>
      <c r="K145" s="18">
        <v>96</v>
      </c>
      <c r="L145" s="18">
        <v>326.58699999999999</v>
      </c>
      <c r="M145" t="s">
        <v>50</v>
      </c>
      <c r="N145" s="19">
        <v>-12.228011684734955</v>
      </c>
      <c r="O145" s="19">
        <v>39.740391518850153</v>
      </c>
      <c r="P145">
        <v>1</v>
      </c>
      <c r="Q145" t="s">
        <v>7</v>
      </c>
      <c r="R145" s="3" t="s">
        <v>200</v>
      </c>
    </row>
    <row r="146" spans="1:18" ht="60">
      <c r="A146">
        <v>145</v>
      </c>
      <c r="B146" t="s">
        <v>8</v>
      </c>
      <c r="C146" s="15">
        <v>45621</v>
      </c>
      <c r="D146" s="16">
        <v>-21.785740000000001</v>
      </c>
      <c r="E146" s="16">
        <v>19.020150000000001</v>
      </c>
      <c r="F146" s="16">
        <v>0.60217999999999994</v>
      </c>
      <c r="G146" s="16">
        <v>0</v>
      </c>
      <c r="H146" s="16">
        <v>4.6110000000000468</v>
      </c>
      <c r="I146" s="16">
        <v>0.49312899999999998</v>
      </c>
      <c r="J146" s="17">
        <v>0</v>
      </c>
      <c r="K146" s="18">
        <v>92</v>
      </c>
      <c r="L146" s="18">
        <v>101.405</v>
      </c>
      <c r="M146" t="s">
        <v>50</v>
      </c>
      <c r="N146" s="19">
        <v>-21.785740000000001</v>
      </c>
      <c r="O146" s="19">
        <v>41.264527389501751</v>
      </c>
      <c r="P146">
        <v>1</v>
      </c>
      <c r="Q146" t="s">
        <v>5</v>
      </c>
      <c r="R146" s="3" t="s">
        <v>201</v>
      </c>
    </row>
    <row r="147" spans="1:18" ht="60">
      <c r="A147">
        <v>146</v>
      </c>
      <c r="B147" t="s">
        <v>8</v>
      </c>
      <c r="C147" s="15">
        <v>45621.1875</v>
      </c>
      <c r="D147" s="16">
        <v>-25.84534</v>
      </c>
      <c r="E147" s="16">
        <v>34.545110000000001</v>
      </c>
      <c r="F147" s="16">
        <v>0.93242999999999987</v>
      </c>
      <c r="G147" s="16">
        <v>0</v>
      </c>
      <c r="H147" s="16">
        <v>4.2150000000000318</v>
      </c>
      <c r="I147" s="16">
        <v>0.49939299999999998</v>
      </c>
      <c r="J147" s="17">
        <v>1</v>
      </c>
      <c r="K147" s="18">
        <v>83</v>
      </c>
      <c r="L147" s="18">
        <v>112.506</v>
      </c>
      <c r="M147" t="s">
        <v>50</v>
      </c>
      <c r="N147" s="19">
        <v>-25.84534</v>
      </c>
      <c r="O147" s="19">
        <v>41.30429515888963</v>
      </c>
      <c r="P147">
        <v>1</v>
      </c>
      <c r="Q147" t="s">
        <v>5</v>
      </c>
      <c r="R147" s="3" t="s">
        <v>202</v>
      </c>
    </row>
    <row r="148" spans="1:18" ht="60">
      <c r="A148">
        <v>147</v>
      </c>
      <c r="B148" t="s">
        <v>8</v>
      </c>
      <c r="C148" s="15">
        <v>45622.083333333336</v>
      </c>
      <c r="D148" s="16">
        <v>-9.53308</v>
      </c>
      <c r="E148" s="16">
        <v>10.583801000000001</v>
      </c>
      <c r="F148" s="16">
        <v>-6.2151300000000003</v>
      </c>
      <c r="G148" s="16">
        <v>0</v>
      </c>
      <c r="H148" s="16">
        <v>3.5130000000000337</v>
      </c>
      <c r="I148" s="16">
        <v>0.65151000000000003</v>
      </c>
      <c r="J148" s="17">
        <v>2</v>
      </c>
      <c r="K148" s="18">
        <v>97</v>
      </c>
      <c r="L148" s="18">
        <v>293.12799999999999</v>
      </c>
      <c r="M148" t="s">
        <v>55</v>
      </c>
      <c r="N148" s="19">
        <v>-18.87728254814942</v>
      </c>
      <c r="O148" s="19">
        <v>24.155343005698771</v>
      </c>
      <c r="P148">
        <v>2</v>
      </c>
      <c r="Q148" t="s">
        <v>7</v>
      </c>
      <c r="R148" s="3" t="s">
        <v>203</v>
      </c>
    </row>
    <row r="149" spans="1:18" ht="60">
      <c r="A149">
        <v>148</v>
      </c>
      <c r="B149" t="s">
        <v>8</v>
      </c>
      <c r="C149" s="15">
        <v>45622.104166666664</v>
      </c>
      <c r="D149" s="16">
        <v>-6.2151300000000003</v>
      </c>
      <c r="E149" s="16">
        <v>-9.53308</v>
      </c>
      <c r="F149" s="16">
        <v>3.4319099999999993</v>
      </c>
      <c r="G149" s="16">
        <v>0</v>
      </c>
      <c r="H149" s="16">
        <v>2.9410000000000309</v>
      </c>
      <c r="I149" s="16">
        <v>0.68893899999999997</v>
      </c>
      <c r="J149" s="17">
        <v>1</v>
      </c>
      <c r="K149" s="18">
        <v>80</v>
      </c>
      <c r="L149" s="18">
        <v>286.14</v>
      </c>
      <c r="M149" t="s">
        <v>55</v>
      </c>
      <c r="N149" s="19">
        <v>-18.878002560291993</v>
      </c>
      <c r="O149" s="19">
        <v>24.154622993556199</v>
      </c>
      <c r="P149">
        <v>2</v>
      </c>
      <c r="Q149" t="s">
        <v>7</v>
      </c>
      <c r="R149" s="3" t="s">
        <v>204</v>
      </c>
    </row>
    <row r="150" spans="1:18" ht="60">
      <c r="A150">
        <v>149</v>
      </c>
      <c r="B150" t="s">
        <v>8</v>
      </c>
      <c r="C150" s="15">
        <v>45622.145833333336</v>
      </c>
      <c r="D150" s="16">
        <v>-18.875309999999999</v>
      </c>
      <c r="E150" s="16">
        <v>3.4319099999999993</v>
      </c>
      <c r="F150" s="16">
        <v>-6.8392300000000006</v>
      </c>
      <c r="G150" s="16">
        <v>0</v>
      </c>
      <c r="H150" s="16">
        <v>2.1400000000000432</v>
      </c>
      <c r="I150" s="16">
        <v>0.60674300000000003</v>
      </c>
      <c r="J150" s="17">
        <v>1</v>
      </c>
      <c r="K150" s="18">
        <v>71</v>
      </c>
      <c r="L150" s="18">
        <v>286.71300000000002</v>
      </c>
      <c r="M150" t="s">
        <v>55</v>
      </c>
      <c r="N150" s="19">
        <v>-18.875309999999999</v>
      </c>
      <c r="O150" s="19">
        <v>10.585296108906864</v>
      </c>
      <c r="P150">
        <v>2</v>
      </c>
      <c r="Q150" t="s">
        <v>5</v>
      </c>
      <c r="R150" s="3" t="s">
        <v>205</v>
      </c>
    </row>
    <row r="151" spans="1:18" ht="60">
      <c r="A151">
        <v>150</v>
      </c>
      <c r="B151" t="s">
        <v>8</v>
      </c>
      <c r="C151" s="15">
        <v>45622.166666666664</v>
      </c>
      <c r="D151" s="16">
        <v>-6.8392300000000006</v>
      </c>
      <c r="E151" s="16">
        <v>-18.875309999999999</v>
      </c>
      <c r="F151" s="16">
        <v>-4.0731800000000007</v>
      </c>
      <c r="G151" s="16">
        <v>0</v>
      </c>
      <c r="H151" s="16">
        <v>2.1280000000000427</v>
      </c>
      <c r="I151" s="16">
        <v>0.52015599999999995</v>
      </c>
      <c r="J151" s="17">
        <v>2</v>
      </c>
      <c r="K151" s="18">
        <v>67</v>
      </c>
      <c r="L151" s="18">
        <v>293.41500000000002</v>
      </c>
      <c r="M151" t="s">
        <v>55</v>
      </c>
      <c r="N151" s="19">
        <v>-18.875182849204755</v>
      </c>
      <c r="O151" s="19">
        <v>10.585426324945193</v>
      </c>
      <c r="P151">
        <v>2</v>
      </c>
      <c r="Q151" t="s">
        <v>7</v>
      </c>
      <c r="R151" s="3" t="s">
        <v>206</v>
      </c>
    </row>
    <row r="152" spans="1:18" ht="60">
      <c r="A152">
        <v>151</v>
      </c>
      <c r="B152" t="s">
        <v>8</v>
      </c>
      <c r="C152" s="15">
        <v>45641.979166666664</v>
      </c>
      <c r="D152" s="16">
        <v>-15.43934</v>
      </c>
      <c r="E152" s="16">
        <v>6.0813499999999996</v>
      </c>
      <c r="F152" s="16">
        <v>8.3033999999999999</v>
      </c>
      <c r="G152" s="16">
        <v>5.5818000000000003E-4</v>
      </c>
      <c r="H152" s="16">
        <v>3.8720000000000141</v>
      </c>
      <c r="I152" s="16">
        <v>0.28487200000000001</v>
      </c>
      <c r="J152" s="17">
        <v>2</v>
      </c>
      <c r="K152" s="18">
        <v>27</v>
      </c>
      <c r="L152" s="18">
        <v>155.76499999999999</v>
      </c>
      <c r="M152" t="s">
        <v>50</v>
      </c>
      <c r="N152" s="19">
        <v>-15.43934</v>
      </c>
      <c r="O152" s="19">
        <v>8.3066056494669329</v>
      </c>
      <c r="P152">
        <v>1</v>
      </c>
      <c r="Q152" t="s">
        <v>5</v>
      </c>
      <c r="R152" s="3" t="s">
        <v>207</v>
      </c>
    </row>
    <row r="153" spans="1:18" ht="60">
      <c r="A153">
        <v>152</v>
      </c>
      <c r="B153" t="s">
        <v>8</v>
      </c>
      <c r="C153" s="15">
        <v>45642.354166666664</v>
      </c>
      <c r="D153" s="16">
        <v>-23.444510000000001</v>
      </c>
      <c r="E153" s="16">
        <v>33.471969999999999</v>
      </c>
      <c r="F153" s="16">
        <v>-10.754912000000001</v>
      </c>
      <c r="G153" s="16">
        <v>0.70503899999999997</v>
      </c>
      <c r="H153" s="16">
        <v>6.0769999999999982</v>
      </c>
      <c r="I153" s="16">
        <v>0.447828</v>
      </c>
      <c r="J153" s="17">
        <v>1</v>
      </c>
      <c r="K153" s="18">
        <v>30</v>
      </c>
      <c r="L153" s="18">
        <v>147.096</v>
      </c>
      <c r="M153" t="s">
        <v>55</v>
      </c>
      <c r="N153" s="19">
        <v>-30.279299773692259</v>
      </c>
      <c r="O153" s="19">
        <v>33.483743173828124</v>
      </c>
      <c r="P153">
        <v>2</v>
      </c>
      <c r="Q153" t="s">
        <v>5</v>
      </c>
      <c r="R153" s="3" t="s">
        <v>208</v>
      </c>
    </row>
    <row r="154" spans="1:18" ht="45">
      <c r="A154">
        <v>153</v>
      </c>
      <c r="B154" t="s">
        <v>8</v>
      </c>
      <c r="C154" s="15">
        <v>45642.375</v>
      </c>
      <c r="D154" s="16">
        <v>-10.754912000000001</v>
      </c>
      <c r="E154" s="16">
        <v>-23.444510000000001</v>
      </c>
      <c r="F154" s="16">
        <v>17.822580000000002</v>
      </c>
      <c r="G154" s="16">
        <v>2.7454299999999998</v>
      </c>
      <c r="H154" s="16">
        <v>6.2820000000000391</v>
      </c>
      <c r="I154" s="16">
        <v>0.392681</v>
      </c>
      <c r="J154" s="17">
        <v>0</v>
      </c>
      <c r="K154" s="18">
        <v>36</v>
      </c>
      <c r="L154" s="18">
        <v>148.136</v>
      </c>
      <c r="M154" t="s">
        <v>55</v>
      </c>
      <c r="N154" s="19">
        <v>-30.283176584748642</v>
      </c>
      <c r="O154" s="19">
        <v>33.479866362771745</v>
      </c>
      <c r="P154">
        <v>2</v>
      </c>
      <c r="Q154" t="s">
        <v>5</v>
      </c>
      <c r="R154" s="3" t="s">
        <v>272</v>
      </c>
    </row>
    <row r="155" spans="1:18" ht="60">
      <c r="A155">
        <v>154</v>
      </c>
      <c r="B155" t="s">
        <v>8</v>
      </c>
      <c r="C155" s="15">
        <v>45643.020833333336</v>
      </c>
      <c r="D155" s="16">
        <v>-7.1425400000000003</v>
      </c>
      <c r="E155" s="16">
        <v>5.2790900000000001</v>
      </c>
      <c r="F155" s="16">
        <v>-0.19049000000000005</v>
      </c>
      <c r="G155" s="16">
        <v>8.8756499999999996E-5</v>
      </c>
      <c r="H155" s="16">
        <v>4.4460000000000264</v>
      </c>
      <c r="I155" s="16">
        <v>0.61898900000000001</v>
      </c>
      <c r="J155" s="17">
        <v>2</v>
      </c>
      <c r="K155" s="18">
        <v>100</v>
      </c>
      <c r="L155" s="18">
        <v>253.40199999999999</v>
      </c>
      <c r="M155" t="s">
        <v>50</v>
      </c>
      <c r="N155" s="19">
        <v>-7.1425400000000003</v>
      </c>
      <c r="O155" s="19">
        <v>6.929137676657648</v>
      </c>
      <c r="P155">
        <v>1</v>
      </c>
      <c r="Q155" t="s">
        <v>7</v>
      </c>
      <c r="R155" s="3" t="s">
        <v>210</v>
      </c>
    </row>
    <row r="156" spans="1:18" ht="60">
      <c r="A156">
        <v>155</v>
      </c>
      <c r="B156" t="s">
        <v>8</v>
      </c>
      <c r="C156" s="15">
        <v>45649.708333333336</v>
      </c>
      <c r="D156" s="16">
        <v>-12.646019999999998</v>
      </c>
      <c r="E156" s="16">
        <v>1.8602759999999998</v>
      </c>
      <c r="F156" s="16">
        <v>1.4769399999999999</v>
      </c>
      <c r="G156" s="16">
        <v>6.3182499999999999</v>
      </c>
      <c r="H156" s="16">
        <v>-1.0999999999967258E-2</v>
      </c>
      <c r="I156" s="16">
        <v>0.227107</v>
      </c>
      <c r="J156" s="17">
        <v>1</v>
      </c>
      <c r="K156" s="18">
        <v>70</v>
      </c>
      <c r="L156" s="18">
        <v>192.16900000000001</v>
      </c>
      <c r="M156" t="s">
        <v>60</v>
      </c>
      <c r="N156" s="19">
        <v>-120.63732647078804</v>
      </c>
      <c r="O156" s="19">
        <v>6.8887594242527195</v>
      </c>
      <c r="P156">
        <v>1</v>
      </c>
      <c r="Q156" t="s">
        <v>5</v>
      </c>
      <c r="R156" s="3" t="s">
        <v>211</v>
      </c>
    </row>
    <row r="157" spans="1:18" ht="45">
      <c r="A157">
        <v>156</v>
      </c>
      <c r="B157" t="s">
        <v>8</v>
      </c>
      <c r="C157" s="15">
        <v>45649.854166666664</v>
      </c>
      <c r="D157" s="16">
        <v>-6.3778600000000001</v>
      </c>
      <c r="E157" s="16">
        <v>6.8777299999999997</v>
      </c>
      <c r="F157" s="16">
        <v>30.9452</v>
      </c>
      <c r="G157" s="16">
        <v>0</v>
      </c>
      <c r="H157" s="16">
        <v>0.16000000000002501</v>
      </c>
      <c r="I157" s="16">
        <v>0.22906299999999999</v>
      </c>
      <c r="J157" s="17">
        <v>1</v>
      </c>
      <c r="K157" s="18">
        <v>64</v>
      </c>
      <c r="L157" s="18">
        <v>288.66500000000002</v>
      </c>
      <c r="M157" t="s">
        <v>60</v>
      </c>
      <c r="N157" s="19">
        <v>-120.80437072863749</v>
      </c>
      <c r="O157" s="19">
        <v>31.013779497561096</v>
      </c>
      <c r="P157">
        <v>1</v>
      </c>
      <c r="Q157" t="s">
        <v>5</v>
      </c>
      <c r="R157" s="3" t="s">
        <v>273</v>
      </c>
    </row>
    <row r="158" spans="1:18" ht="60">
      <c r="A158">
        <v>157</v>
      </c>
      <c r="B158" t="s">
        <v>8</v>
      </c>
      <c r="C158" s="15">
        <v>45652.125</v>
      </c>
      <c r="D158" s="16">
        <v>-5.3155320000000001</v>
      </c>
      <c r="E158" s="16">
        <v>6.0201700000000002</v>
      </c>
      <c r="F158" s="16">
        <v>-30.209599999999998</v>
      </c>
      <c r="G158" s="16">
        <v>0</v>
      </c>
      <c r="H158" s="16">
        <v>-0.31399999999996453</v>
      </c>
      <c r="I158" s="16">
        <v>0.256915</v>
      </c>
      <c r="J158" s="17">
        <v>1</v>
      </c>
      <c r="K158" s="18">
        <v>39</v>
      </c>
      <c r="L158" s="18">
        <v>95.649600000000007</v>
      </c>
      <c r="M158" t="s">
        <v>55</v>
      </c>
      <c r="N158" s="19">
        <v>-30.209029542824752</v>
      </c>
      <c r="O158" s="19">
        <v>20.997298589167968</v>
      </c>
      <c r="P158">
        <v>4</v>
      </c>
      <c r="Q158" t="s">
        <v>7</v>
      </c>
      <c r="R158" s="3" t="s">
        <v>213</v>
      </c>
    </row>
    <row r="159" spans="1:18" ht="45">
      <c r="A159">
        <v>158</v>
      </c>
      <c r="B159" t="s">
        <v>8</v>
      </c>
      <c r="C159" s="15">
        <v>45652.166666666664</v>
      </c>
      <c r="D159" s="16">
        <v>-5.9151790000000002</v>
      </c>
      <c r="E159" s="16">
        <v>-30.209599999999998</v>
      </c>
      <c r="F159" s="16">
        <v>-16.405094999999999</v>
      </c>
      <c r="G159" s="16">
        <v>0</v>
      </c>
      <c r="H159" s="16">
        <v>-0.15899999999999181</v>
      </c>
      <c r="I159" s="16">
        <v>0.254861</v>
      </c>
      <c r="J159" s="17">
        <v>1</v>
      </c>
      <c r="K159" s="18">
        <v>25</v>
      </c>
      <c r="L159" s="18">
        <v>95.964299999999994</v>
      </c>
      <c r="M159" t="s">
        <v>55</v>
      </c>
      <c r="N159" s="19">
        <v>-30.209859950818139</v>
      </c>
      <c r="O159" s="19">
        <v>20.996468181174581</v>
      </c>
      <c r="P159">
        <v>4</v>
      </c>
      <c r="Q159" t="s">
        <v>5</v>
      </c>
      <c r="R159" s="3" t="s">
        <v>274</v>
      </c>
    </row>
    <row r="160" spans="1:18" ht="60">
      <c r="A160">
        <v>159</v>
      </c>
      <c r="B160" t="s">
        <v>8</v>
      </c>
      <c r="C160" s="15">
        <v>45652.1875</v>
      </c>
      <c r="D160" s="16">
        <v>-16.405094999999999</v>
      </c>
      <c r="E160" s="16">
        <v>-5.9151790000000002</v>
      </c>
      <c r="F160" s="16">
        <v>6.6232000000000006</v>
      </c>
      <c r="G160" s="16">
        <v>0</v>
      </c>
      <c r="H160" s="16">
        <v>-9.0999999999951342E-2</v>
      </c>
      <c r="I160" s="16">
        <v>0.29838300000000001</v>
      </c>
      <c r="J160" s="17">
        <v>1</v>
      </c>
      <c r="K160" s="18">
        <v>19</v>
      </c>
      <c r="L160" s="18">
        <v>101.849</v>
      </c>
      <c r="M160" t="s">
        <v>55</v>
      </c>
      <c r="N160" s="19">
        <v>-30.209209330041475</v>
      </c>
      <c r="O160" s="19">
        <v>20.997118801951245</v>
      </c>
      <c r="P160">
        <v>4</v>
      </c>
      <c r="Q160" t="s">
        <v>5</v>
      </c>
      <c r="R160" s="3" t="s">
        <v>215</v>
      </c>
    </row>
    <row r="161" spans="1:18" ht="45">
      <c r="A161">
        <v>160</v>
      </c>
      <c r="B161" t="s">
        <v>8</v>
      </c>
      <c r="C161" s="15">
        <v>45652.270833333336</v>
      </c>
      <c r="D161" s="16">
        <v>-6.1658660000000003</v>
      </c>
      <c r="E161" s="16">
        <v>-0.69421169999999999</v>
      </c>
      <c r="F161" s="16">
        <v>-11.28561</v>
      </c>
      <c r="G161" s="16">
        <v>0</v>
      </c>
      <c r="H161" s="16">
        <v>0.41700000000003001</v>
      </c>
      <c r="I161" s="16">
        <v>0.268152</v>
      </c>
      <c r="J161" s="17">
        <v>2</v>
      </c>
      <c r="K161" s="18">
        <v>29</v>
      </c>
      <c r="L161" s="18">
        <v>136.81800000000001</v>
      </c>
      <c r="M161" t="s">
        <v>55</v>
      </c>
      <c r="N161" s="19">
        <v>-30.207804287367932</v>
      </c>
      <c r="O161" s="19">
        <v>6.6216713039387738</v>
      </c>
      <c r="P161">
        <v>3</v>
      </c>
      <c r="Q161" t="s">
        <v>5</v>
      </c>
      <c r="R161" s="3" t="s">
        <v>275</v>
      </c>
    </row>
    <row r="162" spans="1:18" ht="45">
      <c r="A162">
        <v>161</v>
      </c>
      <c r="B162" t="s">
        <v>8</v>
      </c>
      <c r="C162" s="15">
        <v>45652.291666666664</v>
      </c>
      <c r="D162" s="16">
        <v>-11.28561</v>
      </c>
      <c r="E162" s="16">
        <v>-6.1658660000000003</v>
      </c>
      <c r="F162" s="16">
        <v>-10.179939999999998</v>
      </c>
      <c r="G162" s="16">
        <v>0</v>
      </c>
      <c r="H162" s="16">
        <v>0.54800000000000182</v>
      </c>
      <c r="I162" s="16">
        <v>0.29380899999999999</v>
      </c>
      <c r="J162" s="17">
        <v>2</v>
      </c>
      <c r="K162" s="18">
        <v>69</v>
      </c>
      <c r="L162" s="18">
        <v>132.416</v>
      </c>
      <c r="M162" t="s">
        <v>55</v>
      </c>
      <c r="N162" s="19">
        <v>-16.405744223685055</v>
      </c>
      <c r="O162" s="19">
        <v>6.6242519520325729</v>
      </c>
      <c r="P162">
        <v>3</v>
      </c>
      <c r="Q162" t="s">
        <v>5</v>
      </c>
      <c r="R162" s="3" t="s">
        <v>276</v>
      </c>
    </row>
    <row r="163" spans="1:18" ht="45">
      <c r="A163">
        <v>162</v>
      </c>
      <c r="B163" t="s">
        <v>8</v>
      </c>
      <c r="C163" s="15">
        <v>45652.3125</v>
      </c>
      <c r="D163" s="16">
        <v>-10.179939999999998</v>
      </c>
      <c r="E163" s="16">
        <v>-11.28561</v>
      </c>
      <c r="F163" s="16">
        <v>4.0276269999999998</v>
      </c>
      <c r="G163" s="16">
        <v>1.07247E-4</v>
      </c>
      <c r="H163" s="16">
        <v>0.64199999999999591</v>
      </c>
      <c r="I163" s="16">
        <v>0.25748500000000002</v>
      </c>
      <c r="J163" s="17">
        <v>2</v>
      </c>
      <c r="K163" s="18">
        <v>58</v>
      </c>
      <c r="L163" s="18">
        <v>131.83099999999999</v>
      </c>
      <c r="M163" t="s">
        <v>55</v>
      </c>
      <c r="N163" s="19">
        <v>-16.405600934715956</v>
      </c>
      <c r="O163" s="19">
        <v>6.6243952410016735</v>
      </c>
      <c r="P163">
        <v>3</v>
      </c>
      <c r="Q163" t="s">
        <v>5</v>
      </c>
      <c r="R163" s="3" t="s">
        <v>277</v>
      </c>
    </row>
    <row r="164" spans="1:18" ht="60">
      <c r="A164">
        <v>163</v>
      </c>
      <c r="B164" t="s">
        <v>8</v>
      </c>
      <c r="C164" s="15">
        <v>45653.020833333336</v>
      </c>
      <c r="D164" s="16">
        <v>-8.0057600000000004</v>
      </c>
      <c r="E164" s="16">
        <v>-47.41</v>
      </c>
      <c r="F164" s="16">
        <v>-42.492199999999997</v>
      </c>
      <c r="G164" s="16">
        <v>0</v>
      </c>
      <c r="H164" s="16">
        <v>5.2010000000000218</v>
      </c>
      <c r="I164" s="16">
        <v>0.32056200000000001</v>
      </c>
      <c r="J164" s="17">
        <v>2</v>
      </c>
      <c r="K164" s="18">
        <v>68</v>
      </c>
      <c r="L164" s="18">
        <v>147.404</v>
      </c>
      <c r="M164" t="s">
        <v>60</v>
      </c>
      <c r="N164" s="19">
        <v>-47.392383031294742</v>
      </c>
      <c r="O164" s="19">
        <v>50.901562560850891</v>
      </c>
      <c r="P164">
        <v>5</v>
      </c>
      <c r="Q164" t="s">
        <v>7</v>
      </c>
      <c r="R164" s="3" t="s">
        <v>219</v>
      </c>
    </row>
    <row r="165" spans="1:18" ht="45">
      <c r="A165">
        <v>164</v>
      </c>
      <c r="B165" t="s">
        <v>8</v>
      </c>
      <c r="C165" s="15">
        <v>45653.083333333336</v>
      </c>
      <c r="D165" s="16">
        <v>-7.0076499999999999</v>
      </c>
      <c r="E165" s="16">
        <v>-38.373000000000005</v>
      </c>
      <c r="F165" s="16">
        <v>33.655052999999995</v>
      </c>
      <c r="G165" s="16">
        <v>0</v>
      </c>
      <c r="H165" s="16">
        <v>4.8550000000000182</v>
      </c>
      <c r="I165" s="16">
        <v>0.37414700000000001</v>
      </c>
      <c r="J165" s="17">
        <v>2</v>
      </c>
      <c r="K165" s="18">
        <v>21</v>
      </c>
      <c r="L165" s="18">
        <v>143.512</v>
      </c>
      <c r="M165" t="s">
        <v>60</v>
      </c>
      <c r="N165" s="19">
        <v>-47.392923061975864</v>
      </c>
      <c r="O165" s="19">
        <v>50.901022530169769</v>
      </c>
      <c r="P165">
        <v>5</v>
      </c>
      <c r="Q165" t="s">
        <v>7</v>
      </c>
      <c r="R165" s="3" t="s">
        <v>278</v>
      </c>
    </row>
    <row r="166" spans="1:18" ht="60">
      <c r="A166">
        <v>165</v>
      </c>
      <c r="B166" t="s">
        <v>8</v>
      </c>
      <c r="C166" s="15">
        <v>45653.895833333336</v>
      </c>
      <c r="D166" s="16">
        <v>-22.281379999999999</v>
      </c>
      <c r="E166" s="16">
        <v>-1.3169010000000001</v>
      </c>
      <c r="F166" s="16">
        <v>34.035012000000002</v>
      </c>
      <c r="G166" s="16">
        <v>0</v>
      </c>
      <c r="H166" s="16">
        <v>6.6419999999999959</v>
      </c>
      <c r="I166" s="16">
        <v>0.56218500000000005</v>
      </c>
      <c r="J166" s="17">
        <v>2</v>
      </c>
      <c r="K166" s="18">
        <v>25</v>
      </c>
      <c r="L166" s="18">
        <v>128.76900000000001</v>
      </c>
      <c r="M166" t="s">
        <v>60</v>
      </c>
      <c r="N166" s="19">
        <v>-30.401264116619149</v>
      </c>
      <c r="O166" s="19">
        <v>70.047533154352323</v>
      </c>
      <c r="P166">
        <v>1</v>
      </c>
      <c r="Q166" t="s">
        <v>5</v>
      </c>
      <c r="R166" s="3" t="s">
        <v>221</v>
      </c>
    </row>
    <row r="167" spans="1:18" ht="60">
      <c r="A167">
        <v>166</v>
      </c>
      <c r="B167" t="s">
        <v>8</v>
      </c>
      <c r="C167" s="15">
        <v>45654.041666666664</v>
      </c>
      <c r="D167" s="16">
        <v>-13.31582</v>
      </c>
      <c r="E167" s="16">
        <v>14.519170000000001</v>
      </c>
      <c r="F167" s="16">
        <v>-15.991818</v>
      </c>
      <c r="G167" s="16">
        <v>0</v>
      </c>
      <c r="H167" s="16">
        <v>8.1160000000000423</v>
      </c>
      <c r="I167" s="16">
        <v>0.57060900000000003</v>
      </c>
      <c r="J167" s="17">
        <v>2</v>
      </c>
      <c r="K167" s="18">
        <v>26</v>
      </c>
      <c r="L167" s="18">
        <v>145.06100000000001</v>
      </c>
      <c r="M167" t="s">
        <v>55</v>
      </c>
      <c r="N167" s="19">
        <v>-30.405006108876378</v>
      </c>
      <c r="O167" s="19">
        <v>34.030378712791638</v>
      </c>
      <c r="P167">
        <v>2</v>
      </c>
      <c r="Q167" t="s">
        <v>5</v>
      </c>
      <c r="R167" s="3" t="s">
        <v>222</v>
      </c>
    </row>
    <row r="168" spans="1:18" ht="60">
      <c r="A168">
        <v>167</v>
      </c>
      <c r="B168" t="s">
        <v>8</v>
      </c>
      <c r="C168" s="15">
        <v>45654.0625</v>
      </c>
      <c r="D168" s="16">
        <v>-15.991818</v>
      </c>
      <c r="E168" s="16">
        <v>-13.31582</v>
      </c>
      <c r="F168" s="16">
        <v>6.0334300000000001</v>
      </c>
      <c r="G168" s="16">
        <v>0</v>
      </c>
      <c r="H168" s="16">
        <v>8.4690000000000509</v>
      </c>
      <c r="I168" s="16">
        <v>0.59240499999999996</v>
      </c>
      <c r="J168" s="17">
        <v>2</v>
      </c>
      <c r="K168" s="18">
        <v>39</v>
      </c>
      <c r="L168" s="18">
        <v>150.24700000000001</v>
      </c>
      <c r="M168" t="s">
        <v>55</v>
      </c>
      <c r="N168" s="19">
        <v>-30.40806942057872</v>
      </c>
      <c r="O168" s="19">
        <v>33.244334503265009</v>
      </c>
      <c r="P168">
        <v>2</v>
      </c>
      <c r="Q168" t="s">
        <v>5</v>
      </c>
      <c r="R168" s="3" t="s">
        <v>223</v>
      </c>
    </row>
    <row r="169" spans="1:18" ht="60">
      <c r="A169">
        <v>168</v>
      </c>
      <c r="B169" t="s">
        <v>8</v>
      </c>
      <c r="C169" s="15">
        <v>45654.166666666664</v>
      </c>
      <c r="D169" s="16">
        <v>-12.589309999999999</v>
      </c>
      <c r="E169" s="16">
        <v>8.9403000000000006</v>
      </c>
      <c r="F169" s="16">
        <v>3.5879400000000001</v>
      </c>
      <c r="G169" s="16">
        <v>0</v>
      </c>
      <c r="H169" s="16">
        <v>10.217000000000041</v>
      </c>
      <c r="I169" s="16">
        <v>0.69932499999999997</v>
      </c>
      <c r="J169" s="17">
        <v>2</v>
      </c>
      <c r="K169" s="18">
        <v>72</v>
      </c>
      <c r="L169" s="18">
        <v>213.70099999999999</v>
      </c>
      <c r="M169" t="s">
        <v>50</v>
      </c>
      <c r="N169" s="19">
        <v>-15.992607705542973</v>
      </c>
      <c r="O169" s="19">
        <v>33.253582716969142</v>
      </c>
      <c r="P169">
        <v>1</v>
      </c>
      <c r="Q169" t="s">
        <v>5</v>
      </c>
      <c r="R169" s="3" t="s">
        <v>224</v>
      </c>
    </row>
    <row r="170" spans="1:18" ht="60">
      <c r="A170">
        <v>169</v>
      </c>
      <c r="B170" t="s">
        <v>8</v>
      </c>
      <c r="C170" s="15">
        <v>45654.25</v>
      </c>
      <c r="D170" s="16">
        <v>-8.5080099999999987</v>
      </c>
      <c r="E170" s="16">
        <v>-2.042853</v>
      </c>
      <c r="F170" s="16">
        <v>13.836919999999999</v>
      </c>
      <c r="G170" s="16">
        <v>0</v>
      </c>
      <c r="H170" s="16">
        <v>9.2490000000000236</v>
      </c>
      <c r="I170" s="16">
        <v>0.55137499999999995</v>
      </c>
      <c r="J170" s="17">
        <v>2</v>
      </c>
      <c r="K170" s="18">
        <v>100</v>
      </c>
      <c r="L170" s="18">
        <v>221.607</v>
      </c>
      <c r="M170" t="s">
        <v>60</v>
      </c>
      <c r="N170" s="19">
        <v>-19.910646076274666</v>
      </c>
      <c r="O170" s="19">
        <v>57.276195386513166</v>
      </c>
      <c r="P170">
        <v>1</v>
      </c>
      <c r="Q170" t="s">
        <v>7</v>
      </c>
      <c r="R170" s="3" t="s">
        <v>225</v>
      </c>
    </row>
    <row r="171" spans="1:18" ht="45">
      <c r="A171">
        <v>170</v>
      </c>
      <c r="B171" t="s">
        <v>8</v>
      </c>
      <c r="C171" s="15">
        <v>45654.354166666664</v>
      </c>
      <c r="D171" s="16">
        <v>-19.901809999999998</v>
      </c>
      <c r="E171" s="16">
        <v>57.221600000000002</v>
      </c>
      <c r="F171" s="16">
        <v>5.9354199999999997</v>
      </c>
      <c r="G171" s="16">
        <v>1.4077200000000001</v>
      </c>
      <c r="H171" s="16">
        <v>8.9910000000000423</v>
      </c>
      <c r="I171" s="16">
        <v>0.61714599999999997</v>
      </c>
      <c r="J171" s="17">
        <v>1</v>
      </c>
      <c r="K171" s="18">
        <v>97</v>
      </c>
      <c r="L171" s="18">
        <v>227.33799999999999</v>
      </c>
      <c r="M171" t="s">
        <v>60</v>
      </c>
      <c r="N171" s="19">
        <v>-19.901809999999998</v>
      </c>
      <c r="O171" s="19">
        <v>57.285023431846227</v>
      </c>
      <c r="P171">
        <v>1</v>
      </c>
      <c r="Q171" t="s">
        <v>5</v>
      </c>
      <c r="R171" s="3" t="s">
        <v>226</v>
      </c>
    </row>
    <row r="172" spans="1:18" ht="60">
      <c r="A172">
        <v>171</v>
      </c>
      <c r="B172" t="s">
        <v>8</v>
      </c>
      <c r="C172" s="15">
        <v>45655.395833333336</v>
      </c>
      <c r="D172" s="16">
        <v>-15.31306</v>
      </c>
      <c r="E172" s="16">
        <v>0.43097400000000002</v>
      </c>
      <c r="F172" s="16">
        <v>1.2197799999999996</v>
      </c>
      <c r="G172" s="16">
        <v>4.4289100000000001</v>
      </c>
      <c r="H172" s="16">
        <v>5.2740000000000009</v>
      </c>
      <c r="I172" s="16">
        <v>0.45323099999999999</v>
      </c>
      <c r="J172" s="17">
        <v>1</v>
      </c>
      <c r="K172" s="18">
        <v>91</v>
      </c>
      <c r="L172" s="18">
        <v>70.463300000000004</v>
      </c>
      <c r="M172" t="s">
        <v>50</v>
      </c>
      <c r="N172" s="19">
        <v>-23.892315406893541</v>
      </c>
      <c r="O172" s="19">
        <v>29.670494171477994</v>
      </c>
      <c r="P172">
        <v>1</v>
      </c>
      <c r="Q172" t="s">
        <v>5</v>
      </c>
      <c r="R172" s="3" t="s">
        <v>227</v>
      </c>
    </row>
    <row r="173" spans="1:18" ht="60">
      <c r="A173">
        <v>172</v>
      </c>
      <c r="B173" t="s">
        <v>8</v>
      </c>
      <c r="C173" s="15">
        <v>45655.729166666664</v>
      </c>
      <c r="D173" s="16">
        <v>-29.602230000000002</v>
      </c>
      <c r="E173" s="16">
        <v>1.2016910000000001</v>
      </c>
      <c r="F173" s="16">
        <v>-2.55579</v>
      </c>
      <c r="G173" s="16">
        <v>0.27247300000000002</v>
      </c>
      <c r="H173" s="16">
        <v>3.8170000000000073</v>
      </c>
      <c r="I173" s="16">
        <v>0.47300500000000001</v>
      </c>
      <c r="J173" s="17">
        <v>1</v>
      </c>
      <c r="K173" s="18">
        <v>33</v>
      </c>
      <c r="L173" s="18">
        <v>341.36700000000002</v>
      </c>
      <c r="M173" t="s">
        <v>60</v>
      </c>
      <c r="N173" s="19">
        <v>-202.12102837238081</v>
      </c>
      <c r="O173" s="19">
        <v>49.865831119617425</v>
      </c>
      <c r="P173">
        <v>1</v>
      </c>
      <c r="Q173" t="s">
        <v>5</v>
      </c>
      <c r="R173" s="3" t="s">
        <v>228</v>
      </c>
    </row>
    <row r="174" spans="1:18" ht="60">
      <c r="A174">
        <v>173</v>
      </c>
      <c r="B174" t="s">
        <v>8</v>
      </c>
      <c r="C174" s="15">
        <v>45655.8125</v>
      </c>
      <c r="D174" s="16">
        <v>-21.218789999999998</v>
      </c>
      <c r="E174" s="16">
        <v>-39.653680000000001</v>
      </c>
      <c r="F174" s="16">
        <v>-67.786689999999993</v>
      </c>
      <c r="G174" s="16">
        <v>0</v>
      </c>
      <c r="H174" s="16">
        <v>3.1230000000000473</v>
      </c>
      <c r="I174" s="16">
        <v>0.68000899999999997</v>
      </c>
      <c r="J174" s="17">
        <v>1</v>
      </c>
      <c r="K174" s="18">
        <v>41</v>
      </c>
      <c r="L174" s="18">
        <v>335.13</v>
      </c>
      <c r="M174" t="s">
        <v>60</v>
      </c>
      <c r="N174" s="19">
        <v>-201.69735152571604</v>
      </c>
      <c r="O174" s="19">
        <v>1.4267397061508817</v>
      </c>
      <c r="P174">
        <v>6</v>
      </c>
      <c r="Q174" t="s">
        <v>5</v>
      </c>
      <c r="R174" s="3" t="s">
        <v>229</v>
      </c>
    </row>
    <row r="175" spans="1:18" ht="60">
      <c r="A175">
        <v>174</v>
      </c>
      <c r="B175" t="s">
        <v>8</v>
      </c>
      <c r="C175" s="15">
        <v>45655.875</v>
      </c>
      <c r="D175" s="16">
        <v>-17.133700000000001</v>
      </c>
      <c r="E175" s="16">
        <v>-53.747199999999999</v>
      </c>
      <c r="F175" s="16">
        <v>-2.4746500000000005</v>
      </c>
      <c r="G175" s="16">
        <v>0</v>
      </c>
      <c r="H175" s="16">
        <v>2.7669999999999959</v>
      </c>
      <c r="I175" s="16">
        <v>0.48192800000000002</v>
      </c>
      <c r="J175" s="17">
        <v>2</v>
      </c>
      <c r="K175" s="18">
        <v>60</v>
      </c>
      <c r="L175" s="18">
        <v>328.44200000000001</v>
      </c>
      <c r="M175" t="s">
        <v>60</v>
      </c>
      <c r="N175" s="19">
        <v>-67.742569409753827</v>
      </c>
      <c r="O175" s="19">
        <v>10.934943213118618</v>
      </c>
      <c r="P175">
        <v>6</v>
      </c>
      <c r="Q175" t="s">
        <v>5</v>
      </c>
      <c r="R175" s="3" t="s">
        <v>230</v>
      </c>
    </row>
    <row r="176" spans="1:18" ht="60">
      <c r="A176">
        <v>175</v>
      </c>
      <c r="B176" t="s">
        <v>8</v>
      </c>
      <c r="C176" s="15">
        <v>45656.0625</v>
      </c>
      <c r="D176" s="16">
        <v>-22.343230000000002</v>
      </c>
      <c r="E176" s="16">
        <v>7.7503200000000003</v>
      </c>
      <c r="F176" s="16">
        <v>51.814640000000004</v>
      </c>
      <c r="G176" s="16">
        <v>0</v>
      </c>
      <c r="H176" s="16">
        <v>2.7309999999999945</v>
      </c>
      <c r="I176" s="16">
        <v>0.52041099999999996</v>
      </c>
      <c r="J176" s="17">
        <v>1</v>
      </c>
      <c r="K176" s="18">
        <v>44</v>
      </c>
      <c r="L176" s="18">
        <v>310.89</v>
      </c>
      <c r="M176" t="s">
        <v>60</v>
      </c>
      <c r="N176" s="19">
        <v>-22.343230000000002</v>
      </c>
      <c r="O176" s="19">
        <v>138.46275907791357</v>
      </c>
      <c r="P176">
        <v>1</v>
      </c>
      <c r="Q176" t="s">
        <v>5</v>
      </c>
      <c r="R176" s="3" t="s">
        <v>231</v>
      </c>
    </row>
    <row r="177" spans="1:18" ht="60">
      <c r="A177">
        <v>176</v>
      </c>
      <c r="B177" t="s">
        <v>8</v>
      </c>
      <c r="C177" s="15">
        <v>45656.104166666664</v>
      </c>
      <c r="D177" s="16">
        <v>-14.441180000000001</v>
      </c>
      <c r="E177" s="16">
        <v>51.814640000000004</v>
      </c>
      <c r="F177" s="16">
        <v>-11.69056</v>
      </c>
      <c r="G177" s="16">
        <v>0</v>
      </c>
      <c r="H177" s="16">
        <v>2.7450000000000045</v>
      </c>
      <c r="I177" s="16">
        <v>0.63367499999999999</v>
      </c>
      <c r="J177" s="17">
        <v>2</v>
      </c>
      <c r="K177" s="18">
        <v>54</v>
      </c>
      <c r="L177" s="18">
        <v>300.36</v>
      </c>
      <c r="M177" t="s">
        <v>60</v>
      </c>
      <c r="N177" s="19">
        <v>-22.357868974849758</v>
      </c>
      <c r="O177" s="19">
        <v>138.44813683420114</v>
      </c>
      <c r="P177">
        <v>2</v>
      </c>
      <c r="Q177" t="s">
        <v>5</v>
      </c>
      <c r="R177" s="3" t="s">
        <v>232</v>
      </c>
    </row>
    <row r="178" spans="1:18" ht="60">
      <c r="A178">
        <v>177</v>
      </c>
      <c r="B178" t="s">
        <v>8</v>
      </c>
      <c r="C178" s="15">
        <v>45656.125</v>
      </c>
      <c r="D178" s="16">
        <v>-11.69056</v>
      </c>
      <c r="E178" s="16">
        <v>-14.441180000000001</v>
      </c>
      <c r="F178" s="16">
        <v>13.17679</v>
      </c>
      <c r="G178" s="16">
        <v>0</v>
      </c>
      <c r="H178" s="16">
        <v>2.6659999999999968</v>
      </c>
      <c r="I178" s="16">
        <v>0.62863599999999997</v>
      </c>
      <c r="J178" s="17">
        <v>1</v>
      </c>
      <c r="K178" s="18">
        <v>52</v>
      </c>
      <c r="L178" s="18">
        <v>296.51100000000002</v>
      </c>
      <c r="M178" t="s">
        <v>60</v>
      </c>
      <c r="N178" s="19">
        <v>-22.364925220650239</v>
      </c>
      <c r="O178" s="19">
        <v>138.44108058840064</v>
      </c>
      <c r="P178">
        <v>2</v>
      </c>
      <c r="Q178" t="s">
        <v>5</v>
      </c>
      <c r="R178" s="3" t="s">
        <v>233</v>
      </c>
    </row>
    <row r="179" spans="1:18" ht="60">
      <c r="A179">
        <v>178</v>
      </c>
      <c r="B179" t="s">
        <v>8</v>
      </c>
      <c r="C179" s="15">
        <v>45656.1875</v>
      </c>
      <c r="D179" s="16">
        <v>-15.596029999999999</v>
      </c>
      <c r="E179" s="16">
        <v>138.15640000000002</v>
      </c>
      <c r="F179" s="16">
        <v>-5.4939299999999998</v>
      </c>
      <c r="G179" s="16">
        <v>0</v>
      </c>
      <c r="H179" s="16">
        <v>2.6090000000000373</v>
      </c>
      <c r="I179" s="16">
        <v>0.45880500000000002</v>
      </c>
      <c r="J179" s="17">
        <v>2</v>
      </c>
      <c r="K179" s="18">
        <v>81</v>
      </c>
      <c r="L179" s="18">
        <v>307.858</v>
      </c>
      <c r="M179" t="s">
        <v>60</v>
      </c>
      <c r="N179" s="19">
        <v>-22.355911409698706</v>
      </c>
      <c r="O179" s="19">
        <v>138.45009439935217</v>
      </c>
      <c r="P179">
        <v>2</v>
      </c>
      <c r="Q179" t="s">
        <v>5</v>
      </c>
      <c r="R179" s="3" t="s">
        <v>234</v>
      </c>
    </row>
    <row r="180" spans="1:18" ht="60">
      <c r="A180">
        <v>179</v>
      </c>
      <c r="B180" t="s">
        <v>8</v>
      </c>
      <c r="C180" s="15">
        <v>45656.208333333336</v>
      </c>
      <c r="D180" s="16">
        <v>-5.4939299999999998</v>
      </c>
      <c r="E180" s="16">
        <v>-15.596029999999999</v>
      </c>
      <c r="F180" s="16">
        <v>-0.94250000000000012</v>
      </c>
      <c r="G180" s="16">
        <v>0</v>
      </c>
      <c r="H180" s="16">
        <v>2.5800000000000409</v>
      </c>
      <c r="I180" s="16">
        <v>0.53735699999999997</v>
      </c>
      <c r="J180" s="17">
        <v>2</v>
      </c>
      <c r="K180" s="18">
        <v>88</v>
      </c>
      <c r="L180" s="18">
        <v>303.25400000000002</v>
      </c>
      <c r="M180" t="s">
        <v>60</v>
      </c>
      <c r="N180" s="19">
        <v>-15.614782700753327</v>
      </c>
      <c r="O180" s="19">
        <v>138.4352573697708</v>
      </c>
      <c r="P180">
        <v>2</v>
      </c>
      <c r="Q180" t="s">
        <v>7</v>
      </c>
      <c r="R180" s="3" t="s">
        <v>235</v>
      </c>
    </row>
    <row r="181" spans="1:18" ht="75">
      <c r="A181">
        <v>180</v>
      </c>
      <c r="B181" t="s">
        <v>8</v>
      </c>
      <c r="C181" s="15">
        <v>45657.1875</v>
      </c>
      <c r="D181" s="16">
        <v>-11.6015</v>
      </c>
      <c r="E181" s="16">
        <v>0.43344999999999989</v>
      </c>
      <c r="F181" s="16">
        <v>11.02633</v>
      </c>
      <c r="G181" s="16">
        <v>0</v>
      </c>
      <c r="H181" s="16">
        <v>-1.1119999999999663</v>
      </c>
      <c r="I181" s="16">
        <v>0.16197800000000001</v>
      </c>
      <c r="J181" s="17">
        <v>0</v>
      </c>
      <c r="K181" s="18">
        <v>20</v>
      </c>
      <c r="L181" s="18">
        <v>62.543599999999998</v>
      </c>
      <c r="M181" t="s">
        <v>50</v>
      </c>
      <c r="N181" s="19">
        <v>-23.850557395435136</v>
      </c>
      <c r="O181" s="19">
        <v>11.034094229242012</v>
      </c>
      <c r="P181">
        <v>1</v>
      </c>
      <c r="Q181" t="s">
        <v>5</v>
      </c>
      <c r="R181" s="3" t="s">
        <v>236</v>
      </c>
    </row>
    <row r="182" spans="1:18" ht="45">
      <c r="A182">
        <v>181</v>
      </c>
      <c r="B182" t="s">
        <v>8</v>
      </c>
      <c r="C182" s="15">
        <v>45657.270833333336</v>
      </c>
      <c r="D182" s="16">
        <v>-16.19087</v>
      </c>
      <c r="E182" s="16">
        <v>-1.1433300000000006</v>
      </c>
      <c r="F182" s="16">
        <v>6.3279000000000014</v>
      </c>
      <c r="G182" s="16">
        <v>0</v>
      </c>
      <c r="H182" s="16">
        <v>-5.8999999999969077E-2</v>
      </c>
      <c r="I182" s="16">
        <v>0.40538000000000002</v>
      </c>
      <c r="J182" s="17">
        <v>2</v>
      </c>
      <c r="K182" s="18">
        <v>27</v>
      </c>
      <c r="L182" s="18">
        <v>68.942099999999996</v>
      </c>
      <c r="M182" t="s">
        <v>60</v>
      </c>
      <c r="N182" s="19">
        <v>-62.648105570877377</v>
      </c>
      <c r="O182" s="19">
        <v>11.047783302335283</v>
      </c>
      <c r="P182">
        <v>1</v>
      </c>
      <c r="Q182" t="s">
        <v>5</v>
      </c>
      <c r="R182" s="3" t="s">
        <v>237</v>
      </c>
    </row>
    <row r="183" spans="1:18" ht="60">
      <c r="A183">
        <v>182</v>
      </c>
      <c r="B183" t="s">
        <v>8</v>
      </c>
      <c r="C183" s="15">
        <v>45657.3125</v>
      </c>
      <c r="D183" s="16">
        <v>-23.847169999999998</v>
      </c>
      <c r="E183" s="16">
        <v>6.3279000000000014</v>
      </c>
      <c r="F183" s="16">
        <v>-7.2122500000000009</v>
      </c>
      <c r="G183" s="16">
        <v>2.0685199999999999E-4</v>
      </c>
      <c r="H183" s="16">
        <v>0.18300000000004957</v>
      </c>
      <c r="I183" s="16">
        <v>0.45846300000000001</v>
      </c>
      <c r="J183" s="17">
        <v>1</v>
      </c>
      <c r="K183" s="18">
        <v>45</v>
      </c>
      <c r="L183" s="18">
        <v>74.085599999999999</v>
      </c>
      <c r="M183" t="s">
        <v>60</v>
      </c>
      <c r="N183" s="19">
        <v>-62.641098389593978</v>
      </c>
      <c r="O183" s="19">
        <v>11.054790483618678</v>
      </c>
      <c r="P183">
        <v>3</v>
      </c>
      <c r="Q183" t="s">
        <v>5</v>
      </c>
      <c r="R183" s="3" t="s">
        <v>238</v>
      </c>
    </row>
    <row r="184" spans="1:18" ht="45">
      <c r="A184">
        <v>183</v>
      </c>
      <c r="B184" t="s">
        <v>8</v>
      </c>
      <c r="C184" s="15">
        <v>45657.333333333336</v>
      </c>
      <c r="D184" s="16">
        <v>-7.2122500000000009</v>
      </c>
      <c r="E184" s="16">
        <v>-23.847169999999998</v>
      </c>
      <c r="F184" s="16">
        <v>-62.6113</v>
      </c>
      <c r="G184" s="16">
        <v>6.5201899999999993E-2</v>
      </c>
      <c r="H184" s="16">
        <v>0.17600000000004457</v>
      </c>
      <c r="I184" s="16">
        <v>0.52026099999999997</v>
      </c>
      <c r="J184" s="17">
        <v>2</v>
      </c>
      <c r="K184" s="18">
        <v>67</v>
      </c>
      <c r="L184" s="18">
        <v>65.1995</v>
      </c>
      <c r="M184" t="s">
        <v>60</v>
      </c>
      <c r="N184" s="19">
        <v>-62.654401624637316</v>
      </c>
      <c r="O184" s="19">
        <v>11.041487248575336</v>
      </c>
      <c r="P184">
        <v>3</v>
      </c>
      <c r="Q184" t="s">
        <v>5</v>
      </c>
      <c r="R184" s="3" t="s">
        <v>279</v>
      </c>
    </row>
  </sheetData>
  <conditionalFormatting sqref="Q2:Q184">
    <cfRule type="expression" dxfId="7" priority="1">
      <formula>Q2="remove"</formula>
    </cfRule>
    <cfRule type="expression" dxfId="6" priority="2">
      <formula>Q2="keep"</formula>
    </cfRule>
    <cfRule type="expression" dxfId="5" priority="3">
      <formula>Q2="verify"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"/>
  <sheetViews>
    <sheetView workbookViewId="0"/>
  </sheetViews>
  <sheetFormatPr baseColWidth="10" defaultColWidth="8.83203125" defaultRowHeight="14"/>
  <cols>
    <col min="1" max="1" width="10" customWidth="1"/>
    <col min="2" max="2" width="7" customWidth="1"/>
    <col min="3" max="3" width="20" customWidth="1"/>
    <col min="4" max="6" width="11" customWidth="1"/>
    <col min="7" max="8" width="9" customWidth="1"/>
    <col min="9" max="9" width="6" customWidth="1"/>
    <col min="10" max="10" width="27" customWidth="1"/>
    <col min="11" max="11" width="18" customWidth="1"/>
    <col min="12" max="12" width="11" customWidth="1"/>
    <col min="13" max="13" width="70" customWidth="1"/>
    <col min="14" max="14" width="15" customWidth="1"/>
    <col min="15" max="15" width="16" customWidth="1"/>
    <col min="16" max="16" width="35" customWidth="1"/>
  </cols>
  <sheetData>
    <row r="1" spans="1:16" ht="56" customHeight="1">
      <c r="A1" s="1" t="s">
        <v>29</v>
      </c>
      <c r="B1" s="1" t="s">
        <v>4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36</v>
      </c>
      <c r="H1" s="1" t="s">
        <v>38</v>
      </c>
      <c r="I1" s="1" t="s">
        <v>37</v>
      </c>
      <c r="J1" s="1" t="s">
        <v>40</v>
      </c>
      <c r="K1" s="1" t="s">
        <v>2</v>
      </c>
      <c r="L1" s="1" t="s">
        <v>45</v>
      </c>
      <c r="M1" s="1" t="s">
        <v>240</v>
      </c>
      <c r="N1" s="1" t="s">
        <v>47</v>
      </c>
      <c r="O1" s="1" t="s">
        <v>48</v>
      </c>
      <c r="P1" s="1" t="s">
        <v>49</v>
      </c>
    </row>
    <row r="2" spans="1:16" ht="45">
      <c r="A2">
        <v>1</v>
      </c>
      <c r="B2" t="s">
        <v>6</v>
      </c>
      <c r="C2" s="15">
        <v>45302.8125</v>
      </c>
      <c r="D2" s="16">
        <v>-10.053470000000001</v>
      </c>
      <c r="E2" s="16">
        <v>1.2133096000000001</v>
      </c>
      <c r="F2" s="16">
        <v>3.1166549999999997</v>
      </c>
      <c r="G2" s="16">
        <v>0.23331199999999999</v>
      </c>
      <c r="H2" s="17">
        <v>90</v>
      </c>
      <c r="I2" s="17">
        <v>1</v>
      </c>
      <c r="J2" t="s">
        <v>50</v>
      </c>
      <c r="K2" t="s">
        <v>9</v>
      </c>
      <c r="L2" t="s">
        <v>51</v>
      </c>
      <c r="M2" s="3" t="s">
        <v>52</v>
      </c>
      <c r="N2" s="3"/>
      <c r="O2" s="3"/>
      <c r="P2" s="3"/>
    </row>
    <row r="3" spans="1:16" ht="75">
      <c r="A3">
        <v>3</v>
      </c>
      <c r="B3" t="s">
        <v>6</v>
      </c>
      <c r="C3" s="15">
        <v>45329.791666666664</v>
      </c>
      <c r="D3" s="16">
        <v>-11.526071</v>
      </c>
      <c r="E3" s="16">
        <v>-2.2838999999999998E-2</v>
      </c>
      <c r="F3" s="16">
        <v>-5.8255840000000001</v>
      </c>
      <c r="G3" s="16">
        <v>0.159832</v>
      </c>
      <c r="H3" s="17">
        <v>100</v>
      </c>
      <c r="I3" s="17">
        <v>1</v>
      </c>
      <c r="J3" t="s">
        <v>55</v>
      </c>
      <c r="K3" t="s">
        <v>9</v>
      </c>
      <c r="L3" t="s">
        <v>51</v>
      </c>
      <c r="M3" s="3" t="s">
        <v>56</v>
      </c>
      <c r="N3" s="3"/>
      <c r="O3" s="3"/>
      <c r="P3" s="3"/>
    </row>
    <row r="4" spans="1:16" ht="60">
      <c r="A4">
        <v>9</v>
      </c>
      <c r="B4" t="s">
        <v>6</v>
      </c>
      <c r="C4" s="15">
        <v>45349.979166666664</v>
      </c>
      <c r="D4" s="16">
        <v>-18.132709999999999</v>
      </c>
      <c r="E4" s="16">
        <v>1.5253950000000001</v>
      </c>
      <c r="F4" s="16">
        <v>-39.224969999999999</v>
      </c>
      <c r="G4" s="16">
        <v>0.388214</v>
      </c>
      <c r="H4" s="17">
        <v>94</v>
      </c>
      <c r="I4" s="17">
        <v>0</v>
      </c>
      <c r="J4" t="s">
        <v>55</v>
      </c>
      <c r="K4" t="s">
        <v>5</v>
      </c>
      <c r="L4" t="s">
        <v>64</v>
      </c>
      <c r="M4" s="3" t="s">
        <v>65</v>
      </c>
      <c r="N4" s="3" t="s">
        <v>5</v>
      </c>
      <c r="O4" s="3"/>
      <c r="P4" s="3"/>
    </row>
    <row r="5" spans="1:16" ht="45">
      <c r="A5">
        <v>14</v>
      </c>
      <c r="B5" t="s">
        <v>6</v>
      </c>
      <c r="C5" s="15">
        <v>45356.125</v>
      </c>
      <c r="D5" s="16">
        <v>-6.3516969999999997</v>
      </c>
      <c r="E5" s="16">
        <v>8.3015270000000001</v>
      </c>
      <c r="F5" s="16">
        <v>-12.634790000000001</v>
      </c>
      <c r="G5" s="16">
        <v>0.552813</v>
      </c>
      <c r="H5" s="17">
        <v>52</v>
      </c>
      <c r="I5" s="17">
        <v>2</v>
      </c>
      <c r="J5" t="s">
        <v>60</v>
      </c>
      <c r="K5" t="s">
        <v>9</v>
      </c>
      <c r="L5" t="s">
        <v>51</v>
      </c>
      <c r="M5" s="3" t="s">
        <v>70</v>
      </c>
      <c r="N5" s="3"/>
      <c r="O5" s="3"/>
      <c r="P5" s="3"/>
    </row>
    <row r="6" spans="1:16" ht="45">
      <c r="A6">
        <v>17</v>
      </c>
      <c r="B6" t="s">
        <v>6</v>
      </c>
      <c r="C6" s="15">
        <v>45377.208333333336</v>
      </c>
      <c r="D6" s="16">
        <v>-14.054976</v>
      </c>
      <c r="E6" s="16">
        <v>-23.388929999999998</v>
      </c>
      <c r="F6" s="16">
        <v>3.6678779999999995</v>
      </c>
      <c r="G6" s="16">
        <v>0.603487</v>
      </c>
      <c r="H6" s="17">
        <v>64</v>
      </c>
      <c r="I6" s="17">
        <v>1</v>
      </c>
      <c r="J6" t="s">
        <v>60</v>
      </c>
      <c r="K6" t="s">
        <v>5</v>
      </c>
      <c r="L6" t="s">
        <v>64</v>
      </c>
      <c r="M6" s="3" t="s">
        <v>73</v>
      </c>
      <c r="N6" s="3" t="s">
        <v>5</v>
      </c>
      <c r="O6" s="3"/>
      <c r="P6" s="3"/>
    </row>
    <row r="7" spans="1:16" ht="45">
      <c r="A7">
        <v>21</v>
      </c>
      <c r="B7" t="s">
        <v>6</v>
      </c>
      <c r="C7" s="15">
        <v>45597.270833333336</v>
      </c>
      <c r="D7" s="16">
        <v>-5.7013099999999994</v>
      </c>
      <c r="E7" s="16">
        <v>58.479199999999999</v>
      </c>
      <c r="F7" s="16">
        <v>3.3013935999999999</v>
      </c>
      <c r="G7" s="16">
        <v>0.55458499999999999</v>
      </c>
      <c r="H7" s="17">
        <v>87</v>
      </c>
      <c r="I7" s="17">
        <v>0</v>
      </c>
      <c r="J7" t="s">
        <v>60</v>
      </c>
      <c r="K7" t="s">
        <v>9</v>
      </c>
      <c r="L7" t="s">
        <v>51</v>
      </c>
      <c r="M7" s="3" t="s">
        <v>77</v>
      </c>
      <c r="N7" s="3"/>
      <c r="O7" s="3"/>
      <c r="P7" s="3"/>
    </row>
    <row r="8" spans="1:16" ht="45">
      <c r="A8">
        <v>22</v>
      </c>
      <c r="B8" t="s">
        <v>6</v>
      </c>
      <c r="C8" s="15">
        <v>45599.75</v>
      </c>
      <c r="D8" s="16">
        <v>-11.417310000000001</v>
      </c>
      <c r="E8" s="16">
        <v>-188.14857899999998</v>
      </c>
      <c r="F8" s="16">
        <v>40.788319999999999</v>
      </c>
      <c r="G8" s="16">
        <v>0.49993700000000002</v>
      </c>
      <c r="H8" s="17">
        <v>93</v>
      </c>
      <c r="I8" s="17">
        <v>1</v>
      </c>
      <c r="J8" t="s">
        <v>60</v>
      </c>
      <c r="K8" t="s">
        <v>5</v>
      </c>
      <c r="L8" t="s">
        <v>64</v>
      </c>
      <c r="M8" s="3" t="s">
        <v>78</v>
      </c>
      <c r="N8" s="3" t="s">
        <v>5</v>
      </c>
      <c r="O8" s="3"/>
      <c r="P8" s="3"/>
    </row>
    <row r="9" spans="1:16" ht="45">
      <c r="A9">
        <v>25</v>
      </c>
      <c r="B9" t="s">
        <v>6</v>
      </c>
      <c r="C9" s="15">
        <v>45599.979166666664</v>
      </c>
      <c r="D9" s="16">
        <v>-11.178659999999999</v>
      </c>
      <c r="E9" s="16">
        <v>-0.80682000000000009</v>
      </c>
      <c r="F9" s="16"/>
      <c r="G9" s="16">
        <v>0.64622500000000005</v>
      </c>
      <c r="H9" s="17">
        <v>92</v>
      </c>
      <c r="I9" s="17">
        <v>1</v>
      </c>
      <c r="J9" t="s">
        <v>60</v>
      </c>
      <c r="K9" t="s">
        <v>5</v>
      </c>
      <c r="L9" t="s">
        <v>64</v>
      </c>
      <c r="M9" s="3" t="s">
        <v>81</v>
      </c>
      <c r="N9" s="3" t="s">
        <v>5</v>
      </c>
      <c r="O9" s="3"/>
      <c r="P9" s="3"/>
    </row>
    <row r="10" spans="1:16" ht="45">
      <c r="A10">
        <v>32</v>
      </c>
      <c r="B10" t="s">
        <v>6</v>
      </c>
      <c r="C10" s="15">
        <v>45609.916666666664</v>
      </c>
      <c r="D10" s="16">
        <v>-8.7609099999999991</v>
      </c>
      <c r="E10" s="16">
        <v>-66.304004000000006</v>
      </c>
      <c r="F10" s="16">
        <v>-90.496299999999991</v>
      </c>
      <c r="G10" s="16">
        <v>0.35233100000000001</v>
      </c>
      <c r="H10" s="17">
        <v>93</v>
      </c>
      <c r="I10" s="17">
        <v>2</v>
      </c>
      <c r="J10" t="s">
        <v>60</v>
      </c>
      <c r="K10" t="s">
        <v>9</v>
      </c>
      <c r="L10" t="s">
        <v>51</v>
      </c>
      <c r="M10" s="3" t="s">
        <v>88</v>
      </c>
      <c r="N10" s="3"/>
      <c r="O10" s="3"/>
      <c r="P10" s="3"/>
    </row>
    <row r="11" spans="1:16" ht="45">
      <c r="A11">
        <v>33</v>
      </c>
      <c r="B11" t="s">
        <v>6</v>
      </c>
      <c r="C11" s="15">
        <v>45610.020833333336</v>
      </c>
      <c r="D11" s="16">
        <v>-7.4074200000000001</v>
      </c>
      <c r="E11" s="16"/>
      <c r="F11" s="16">
        <v>-61.224139999999998</v>
      </c>
      <c r="G11" s="16">
        <v>0.23815</v>
      </c>
      <c r="H11" s="17">
        <v>48</v>
      </c>
      <c r="I11" s="17">
        <v>1</v>
      </c>
      <c r="J11" t="s">
        <v>60</v>
      </c>
      <c r="K11" t="s">
        <v>9</v>
      </c>
      <c r="L11" t="s">
        <v>51</v>
      </c>
      <c r="M11" s="3" t="s">
        <v>89</v>
      </c>
      <c r="N11" s="3"/>
      <c r="O11" s="3"/>
      <c r="P11" s="3"/>
    </row>
    <row r="12" spans="1:16" ht="45">
      <c r="A12">
        <v>35</v>
      </c>
      <c r="B12" t="s">
        <v>6</v>
      </c>
      <c r="C12" s="15">
        <v>45610.25</v>
      </c>
      <c r="D12" s="16">
        <v>-7.1871299999999998</v>
      </c>
      <c r="E12" s="16">
        <v>-569.24157000000002</v>
      </c>
      <c r="F12" s="16">
        <v>-29.388599999999997</v>
      </c>
      <c r="G12" s="16">
        <v>0.28761300000000001</v>
      </c>
      <c r="H12" s="17">
        <v>48</v>
      </c>
      <c r="I12" s="17">
        <v>0</v>
      </c>
      <c r="J12" t="s">
        <v>60</v>
      </c>
      <c r="K12" t="s">
        <v>9</v>
      </c>
      <c r="L12" t="s">
        <v>51</v>
      </c>
      <c r="M12" s="3" t="s">
        <v>91</v>
      </c>
      <c r="N12" s="3"/>
      <c r="O12" s="3"/>
      <c r="P12" s="3"/>
    </row>
    <row r="13" spans="1:16" ht="45">
      <c r="A13">
        <v>37</v>
      </c>
      <c r="B13" t="s">
        <v>6</v>
      </c>
      <c r="C13" s="15">
        <v>45610.354166666664</v>
      </c>
      <c r="D13" s="16">
        <v>-8.7134</v>
      </c>
      <c r="E13" s="16">
        <v>107.23259999999999</v>
      </c>
      <c r="F13" s="16">
        <v>28.230969999999999</v>
      </c>
      <c r="G13" s="16">
        <v>0.30863299999999999</v>
      </c>
      <c r="H13" s="17">
        <v>40</v>
      </c>
      <c r="I13" s="17">
        <v>1</v>
      </c>
      <c r="J13" t="s">
        <v>60</v>
      </c>
      <c r="K13" t="s">
        <v>9</v>
      </c>
      <c r="L13" t="s">
        <v>51</v>
      </c>
      <c r="M13" s="3" t="s">
        <v>93</v>
      </c>
      <c r="N13" s="3"/>
      <c r="O13" s="3"/>
      <c r="P13" s="3"/>
    </row>
    <row r="14" spans="1:16" ht="45">
      <c r="A14">
        <v>44</v>
      </c>
      <c r="B14" t="s">
        <v>6</v>
      </c>
      <c r="C14" s="15">
        <v>45617.083333333336</v>
      </c>
      <c r="D14" s="16">
        <v>-12.265180000000001</v>
      </c>
      <c r="E14" s="16">
        <v>4.5422200000000004</v>
      </c>
      <c r="F14" s="16">
        <v>-1.4533849999999999</v>
      </c>
      <c r="G14" s="16">
        <v>0.37445800000000001</v>
      </c>
      <c r="H14" s="17">
        <v>79</v>
      </c>
      <c r="I14" s="17">
        <v>2</v>
      </c>
      <c r="J14" t="s">
        <v>60</v>
      </c>
      <c r="K14" t="s">
        <v>5</v>
      </c>
      <c r="L14" t="s">
        <v>64</v>
      </c>
      <c r="M14" s="3" t="s">
        <v>100</v>
      </c>
      <c r="N14" s="3" t="s">
        <v>5</v>
      </c>
      <c r="O14" s="3"/>
      <c r="P14" s="3"/>
    </row>
    <row r="15" spans="1:16" ht="45">
      <c r="A15">
        <v>50</v>
      </c>
      <c r="B15" t="s">
        <v>6</v>
      </c>
      <c r="C15" s="15">
        <v>45622.104166666664</v>
      </c>
      <c r="D15" s="16">
        <v>-10.439969999999999</v>
      </c>
      <c r="E15" s="16">
        <v>15.232597999999999</v>
      </c>
      <c r="F15" s="16">
        <v>-0.38710000000000111</v>
      </c>
      <c r="G15" s="16">
        <v>0.61536999999999997</v>
      </c>
      <c r="H15" s="17">
        <v>54</v>
      </c>
      <c r="I15" s="17">
        <v>2</v>
      </c>
      <c r="J15" t="s">
        <v>50</v>
      </c>
      <c r="K15" t="s">
        <v>9</v>
      </c>
      <c r="L15" t="s">
        <v>51</v>
      </c>
      <c r="M15" s="3" t="s">
        <v>106</v>
      </c>
      <c r="N15" s="3"/>
      <c r="O15" s="3"/>
      <c r="P15" s="3"/>
    </row>
    <row r="16" spans="1:16" ht="45">
      <c r="A16">
        <v>51</v>
      </c>
      <c r="B16" t="s">
        <v>6</v>
      </c>
      <c r="C16" s="15">
        <v>45641.333333333336</v>
      </c>
      <c r="D16" s="16">
        <v>-7.6464999999999996</v>
      </c>
      <c r="E16" s="16">
        <v>-35.88364</v>
      </c>
      <c r="F16" s="16">
        <v>115.18443000000001</v>
      </c>
      <c r="G16" s="16">
        <v>0.33301799999999998</v>
      </c>
      <c r="H16" s="17">
        <v>48</v>
      </c>
      <c r="I16" s="17">
        <v>2</v>
      </c>
      <c r="J16" t="s">
        <v>60</v>
      </c>
      <c r="K16" t="s">
        <v>9</v>
      </c>
      <c r="L16" t="s">
        <v>51</v>
      </c>
      <c r="M16" s="3" t="s">
        <v>107</v>
      </c>
      <c r="N16" s="3"/>
      <c r="O16" s="3"/>
      <c r="P16" s="3"/>
    </row>
    <row r="17" spans="1:16" ht="45">
      <c r="A17">
        <v>56</v>
      </c>
      <c r="B17" t="s">
        <v>6</v>
      </c>
      <c r="C17" s="15">
        <v>45653.0625</v>
      </c>
      <c r="D17" s="16">
        <v>-8.0867799999999992</v>
      </c>
      <c r="E17" s="16">
        <v>1.5066599999999999</v>
      </c>
      <c r="F17" s="16">
        <v>-31.378156000000001</v>
      </c>
      <c r="G17" s="16">
        <v>0.39716600000000002</v>
      </c>
      <c r="H17" s="17">
        <v>13</v>
      </c>
      <c r="I17" s="17">
        <v>2</v>
      </c>
      <c r="J17" t="s">
        <v>55</v>
      </c>
      <c r="K17" t="s">
        <v>9</v>
      </c>
      <c r="L17" t="s">
        <v>51</v>
      </c>
      <c r="M17" s="3" t="s">
        <v>112</v>
      </c>
      <c r="N17" s="3"/>
      <c r="O17" s="3"/>
      <c r="P17" s="3"/>
    </row>
    <row r="18" spans="1:16" ht="45">
      <c r="A18">
        <v>57</v>
      </c>
      <c r="B18" t="s">
        <v>6</v>
      </c>
      <c r="C18" s="15">
        <v>45653.208333333336</v>
      </c>
      <c r="D18" s="16">
        <v>-10.270020000000001</v>
      </c>
      <c r="E18" s="16">
        <v>17.81776</v>
      </c>
      <c r="F18" s="16">
        <v>-1.2382700000000002</v>
      </c>
      <c r="G18" s="16">
        <v>0.36480499999999999</v>
      </c>
      <c r="H18" s="17">
        <v>44</v>
      </c>
      <c r="I18" s="17">
        <v>2</v>
      </c>
      <c r="J18" t="s">
        <v>50</v>
      </c>
      <c r="K18" t="s">
        <v>9</v>
      </c>
      <c r="L18" t="s">
        <v>51</v>
      </c>
      <c r="M18" s="3" t="s">
        <v>113</v>
      </c>
      <c r="N18" s="3"/>
      <c r="O18" s="3"/>
      <c r="P18" s="3"/>
    </row>
    <row r="19" spans="1:16" ht="45">
      <c r="A19">
        <v>58</v>
      </c>
      <c r="B19" t="s">
        <v>6</v>
      </c>
      <c r="C19" s="15">
        <v>45653.729166666664</v>
      </c>
      <c r="D19" s="16">
        <v>-11.489509999999999</v>
      </c>
      <c r="E19" s="16">
        <v>-0.67380200000000001</v>
      </c>
      <c r="F19" s="16">
        <v>49.597200000000001</v>
      </c>
      <c r="G19" s="16">
        <v>0.33984500000000001</v>
      </c>
      <c r="H19" s="17">
        <v>59</v>
      </c>
      <c r="I19" s="17">
        <v>2</v>
      </c>
      <c r="J19" t="s">
        <v>60</v>
      </c>
      <c r="K19" t="s">
        <v>5</v>
      </c>
      <c r="L19" t="s">
        <v>64</v>
      </c>
      <c r="M19" s="3" t="s">
        <v>114</v>
      </c>
      <c r="N19" s="3" t="s">
        <v>5</v>
      </c>
      <c r="O19" s="3"/>
      <c r="P19" s="3"/>
    </row>
    <row r="20" spans="1:16" ht="45">
      <c r="A20">
        <v>59</v>
      </c>
      <c r="B20" t="s">
        <v>6</v>
      </c>
      <c r="C20" s="15">
        <v>45653.770833333336</v>
      </c>
      <c r="D20" s="16">
        <v>-8.86111</v>
      </c>
      <c r="E20" s="16">
        <v>49.597200000000001</v>
      </c>
      <c r="F20" s="16">
        <v>-13.669500000000001</v>
      </c>
      <c r="G20" s="16">
        <v>0.34029799999999999</v>
      </c>
      <c r="H20" s="17">
        <v>17</v>
      </c>
      <c r="I20" s="17">
        <v>0</v>
      </c>
      <c r="J20" t="s">
        <v>60</v>
      </c>
      <c r="K20" t="s">
        <v>9</v>
      </c>
      <c r="L20" t="s">
        <v>51</v>
      </c>
      <c r="M20" s="3" t="s">
        <v>115</v>
      </c>
      <c r="N20" s="3"/>
      <c r="O20" s="3"/>
      <c r="P20" s="3"/>
    </row>
    <row r="21" spans="1:16" ht="45">
      <c r="A21">
        <v>61</v>
      </c>
      <c r="B21" t="s">
        <v>6</v>
      </c>
      <c r="C21" s="15">
        <v>45653.854166666664</v>
      </c>
      <c r="D21" s="16">
        <v>-11.020479999999999</v>
      </c>
      <c r="E21" s="16">
        <v>-4.3820199999999998</v>
      </c>
      <c r="F21" s="16">
        <v>-6.4791900000000009</v>
      </c>
      <c r="G21" s="16">
        <v>0.42211599999999999</v>
      </c>
      <c r="H21" s="17">
        <v>57</v>
      </c>
      <c r="I21" s="17">
        <v>2</v>
      </c>
      <c r="J21" t="s">
        <v>60</v>
      </c>
      <c r="K21" t="s">
        <v>5</v>
      </c>
      <c r="L21" t="s">
        <v>64</v>
      </c>
      <c r="M21" s="3" t="s">
        <v>117</v>
      </c>
      <c r="N21" s="3" t="s">
        <v>5</v>
      </c>
      <c r="O21" s="3"/>
      <c r="P21" s="3"/>
    </row>
    <row r="22" spans="1:16" ht="45">
      <c r="A22">
        <v>62</v>
      </c>
      <c r="B22" t="s">
        <v>6</v>
      </c>
      <c r="C22" s="15">
        <v>45653.875</v>
      </c>
      <c r="D22" s="16">
        <v>-6.4791900000000009</v>
      </c>
      <c r="E22" s="16">
        <v>-11.020479999999999</v>
      </c>
      <c r="F22" s="16">
        <v>-17.857051000000002</v>
      </c>
      <c r="G22" s="16">
        <v>0.45424700000000001</v>
      </c>
      <c r="H22" s="17">
        <v>61</v>
      </c>
      <c r="I22" s="17">
        <v>2</v>
      </c>
      <c r="J22" t="s">
        <v>60</v>
      </c>
      <c r="K22" t="s">
        <v>9</v>
      </c>
      <c r="L22" t="s">
        <v>51</v>
      </c>
      <c r="M22" s="3" t="s">
        <v>118</v>
      </c>
      <c r="N22" s="3"/>
      <c r="O22" s="3"/>
      <c r="P22" s="3"/>
    </row>
    <row r="23" spans="1:16" ht="75">
      <c r="A23">
        <v>65</v>
      </c>
      <c r="B23" t="s">
        <v>6</v>
      </c>
      <c r="C23" s="15">
        <v>45655.166666666664</v>
      </c>
      <c r="D23" s="16">
        <v>-11.500101000000001</v>
      </c>
      <c r="E23" s="16">
        <v>1.1297540000000001</v>
      </c>
      <c r="F23" s="16">
        <v>-1.8391310000000001</v>
      </c>
      <c r="G23" s="16">
        <v>0.101796</v>
      </c>
      <c r="H23" s="17">
        <v>95</v>
      </c>
      <c r="I23" s="17">
        <v>1</v>
      </c>
      <c r="J23" t="s">
        <v>50</v>
      </c>
      <c r="K23" t="s">
        <v>9</v>
      </c>
      <c r="L23" t="s">
        <v>51</v>
      </c>
      <c r="M23" s="3" t="s">
        <v>121</v>
      </c>
      <c r="N23" s="3"/>
      <c r="O23" s="3"/>
      <c r="P23" s="3"/>
    </row>
    <row r="24" spans="1:16" ht="45">
      <c r="A24">
        <v>67</v>
      </c>
      <c r="B24" t="s">
        <v>6</v>
      </c>
      <c r="C24" s="15">
        <v>45656.041666666664</v>
      </c>
      <c r="D24" s="16">
        <v>-9.1809000000000012</v>
      </c>
      <c r="E24" s="16">
        <v>-24.774789700000003</v>
      </c>
      <c r="F24" s="16">
        <v>-4.7739599999999998</v>
      </c>
      <c r="G24" s="16">
        <v>0.57548299999999997</v>
      </c>
      <c r="H24" s="17">
        <v>29</v>
      </c>
      <c r="I24" s="17">
        <v>2</v>
      </c>
      <c r="J24" t="s">
        <v>55</v>
      </c>
      <c r="K24" t="s">
        <v>9</v>
      </c>
      <c r="L24" t="s">
        <v>51</v>
      </c>
      <c r="M24" s="3" t="s">
        <v>123</v>
      </c>
      <c r="N24" s="3"/>
      <c r="O24" s="3"/>
      <c r="P24" s="3"/>
    </row>
    <row r="25" spans="1:16" ht="45">
      <c r="A25">
        <v>72</v>
      </c>
      <c r="B25" t="s">
        <v>8</v>
      </c>
      <c r="C25" s="15">
        <v>45317.020833333336</v>
      </c>
      <c r="D25" s="16">
        <v>-7.1046499999999995</v>
      </c>
      <c r="E25" s="16">
        <v>1.1710600000000007</v>
      </c>
      <c r="F25" s="16">
        <v>-10.356839999999998</v>
      </c>
      <c r="G25" s="16">
        <v>0.45602999999999999</v>
      </c>
      <c r="H25" s="17">
        <v>60</v>
      </c>
      <c r="I25" s="17">
        <v>2</v>
      </c>
      <c r="J25" t="s">
        <v>60</v>
      </c>
      <c r="K25" t="s">
        <v>9</v>
      </c>
      <c r="L25" t="s">
        <v>51</v>
      </c>
      <c r="M25" s="3" t="s">
        <v>128</v>
      </c>
      <c r="N25" s="3"/>
      <c r="O25" s="3"/>
      <c r="P25" s="3"/>
    </row>
    <row r="26" spans="1:16" ht="45">
      <c r="A26">
        <v>73</v>
      </c>
      <c r="B26" t="s">
        <v>8</v>
      </c>
      <c r="C26" s="15">
        <v>45317.041666666664</v>
      </c>
      <c r="D26" s="16">
        <v>-10.356839999999998</v>
      </c>
      <c r="E26" s="16">
        <v>-7.1046499999999995</v>
      </c>
      <c r="F26" s="16">
        <v>9.6726500000000009</v>
      </c>
      <c r="G26" s="16">
        <v>0.56881099999999996</v>
      </c>
      <c r="H26" s="17">
        <v>56</v>
      </c>
      <c r="I26" s="17">
        <v>0</v>
      </c>
      <c r="J26" t="s">
        <v>60</v>
      </c>
      <c r="K26" t="s">
        <v>5</v>
      </c>
      <c r="L26" t="s">
        <v>64</v>
      </c>
      <c r="M26" s="3" t="s">
        <v>129</v>
      </c>
      <c r="N26" s="3" t="s">
        <v>5</v>
      </c>
      <c r="O26" s="3"/>
      <c r="P26" s="3"/>
    </row>
    <row r="27" spans="1:16" ht="45">
      <c r="A27">
        <v>81</v>
      </c>
      <c r="B27" t="s">
        <v>8</v>
      </c>
      <c r="C27" s="15">
        <v>45337.270833333336</v>
      </c>
      <c r="D27" s="16">
        <v>-6.1196000000000019</v>
      </c>
      <c r="E27" s="16">
        <v>67.035799999999995</v>
      </c>
      <c r="F27" s="16">
        <v>-114.33009999999999</v>
      </c>
      <c r="G27" s="16">
        <v>0.52525699999999997</v>
      </c>
      <c r="H27" s="17">
        <v>15</v>
      </c>
      <c r="I27" s="17">
        <v>0</v>
      </c>
      <c r="J27" t="s">
        <v>60</v>
      </c>
      <c r="K27" t="s">
        <v>9</v>
      </c>
      <c r="L27" t="s">
        <v>51</v>
      </c>
      <c r="M27" s="3" t="s">
        <v>137</v>
      </c>
      <c r="N27" s="3"/>
      <c r="O27" s="3"/>
      <c r="P27" s="3"/>
    </row>
    <row r="28" spans="1:16" ht="45">
      <c r="A28">
        <v>86</v>
      </c>
      <c r="B28" t="s">
        <v>8</v>
      </c>
      <c r="C28" s="15">
        <v>45350.3125</v>
      </c>
      <c r="D28" s="16">
        <v>-6.4224509999999997</v>
      </c>
      <c r="E28" s="16">
        <v>-35.55442</v>
      </c>
      <c r="F28" s="16">
        <v>1.9303769999999998</v>
      </c>
      <c r="G28" s="16">
        <v>0.81230599999999997</v>
      </c>
      <c r="H28" s="17">
        <v>100</v>
      </c>
      <c r="I28" s="17">
        <v>2</v>
      </c>
      <c r="J28" t="s">
        <v>60</v>
      </c>
      <c r="K28" t="s">
        <v>9</v>
      </c>
      <c r="L28" t="s">
        <v>51</v>
      </c>
      <c r="M28" s="3" t="s">
        <v>142</v>
      </c>
      <c r="N28" s="3"/>
      <c r="O28" s="3"/>
      <c r="P28" s="3"/>
    </row>
    <row r="29" spans="1:16" ht="45">
      <c r="A29">
        <v>91</v>
      </c>
      <c r="B29" t="s">
        <v>8</v>
      </c>
      <c r="C29" s="15">
        <v>45356.291666666664</v>
      </c>
      <c r="D29" s="16">
        <v>-5.9442200000000005</v>
      </c>
      <c r="E29" s="16">
        <v>66.502100000000013</v>
      </c>
      <c r="F29" s="16">
        <v>-62.269729999999996</v>
      </c>
      <c r="G29" s="16">
        <v>0.49100100000000002</v>
      </c>
      <c r="H29" s="17">
        <v>49</v>
      </c>
      <c r="I29" s="17">
        <v>2</v>
      </c>
      <c r="J29" t="s">
        <v>60</v>
      </c>
      <c r="K29" t="s">
        <v>9</v>
      </c>
      <c r="L29" t="s">
        <v>51</v>
      </c>
      <c r="M29" s="3" t="s">
        <v>147</v>
      </c>
      <c r="N29" s="3"/>
      <c r="O29" s="3"/>
      <c r="P29" s="3"/>
    </row>
    <row r="30" spans="1:16" ht="45">
      <c r="A30">
        <v>95</v>
      </c>
      <c r="B30" t="s">
        <v>8</v>
      </c>
      <c r="C30" s="15">
        <v>45359.875</v>
      </c>
      <c r="D30" s="16">
        <v>-12.061914</v>
      </c>
      <c r="E30" s="16">
        <v>-15.2226</v>
      </c>
      <c r="F30" s="16">
        <v>-13.470321</v>
      </c>
      <c r="G30" s="16">
        <v>0.34971400000000002</v>
      </c>
      <c r="H30" s="17">
        <v>37</v>
      </c>
      <c r="I30" s="17">
        <v>1</v>
      </c>
      <c r="J30" t="s">
        <v>60</v>
      </c>
      <c r="K30" t="s">
        <v>5</v>
      </c>
      <c r="L30" t="s">
        <v>64</v>
      </c>
      <c r="M30" s="3" t="s">
        <v>151</v>
      </c>
      <c r="N30" s="3" t="s">
        <v>5</v>
      </c>
      <c r="O30" s="3"/>
      <c r="P30" s="3"/>
    </row>
    <row r="31" spans="1:16" ht="45">
      <c r="A31">
        <v>96</v>
      </c>
      <c r="B31" t="s">
        <v>8</v>
      </c>
      <c r="C31" s="15">
        <v>45359.895833333336</v>
      </c>
      <c r="D31" s="16">
        <v>-13.470321</v>
      </c>
      <c r="E31" s="16">
        <v>-12.061914</v>
      </c>
      <c r="F31" s="16">
        <v>19.494903999999998</v>
      </c>
      <c r="G31" s="16">
        <v>0.36677900000000002</v>
      </c>
      <c r="H31" s="17">
        <v>37</v>
      </c>
      <c r="I31" s="17">
        <v>0</v>
      </c>
      <c r="J31" t="s">
        <v>60</v>
      </c>
      <c r="K31" t="s">
        <v>5</v>
      </c>
      <c r="L31" t="s">
        <v>64</v>
      </c>
      <c r="M31" s="3" t="s">
        <v>152</v>
      </c>
      <c r="N31" s="3" t="s">
        <v>5</v>
      </c>
      <c r="O31" s="3"/>
      <c r="P31" s="3"/>
    </row>
    <row r="32" spans="1:16" ht="60">
      <c r="A32">
        <v>97</v>
      </c>
      <c r="B32" t="s">
        <v>8</v>
      </c>
      <c r="C32" s="15">
        <v>45360</v>
      </c>
      <c r="D32" s="16">
        <v>-14.0083</v>
      </c>
      <c r="E32" s="16">
        <v>21.839688000000002</v>
      </c>
      <c r="F32" s="16">
        <v>-11.962397000000001</v>
      </c>
      <c r="G32" s="16">
        <v>0.48104200000000003</v>
      </c>
      <c r="H32" s="17">
        <v>46</v>
      </c>
      <c r="I32" s="17">
        <v>2</v>
      </c>
      <c r="J32" t="s">
        <v>55</v>
      </c>
      <c r="K32" t="s">
        <v>5</v>
      </c>
      <c r="L32" t="s">
        <v>64</v>
      </c>
      <c r="M32" s="3" t="s">
        <v>153</v>
      </c>
      <c r="N32" s="3" t="s">
        <v>5</v>
      </c>
      <c r="O32" s="3"/>
      <c r="P32" s="3"/>
    </row>
    <row r="33" spans="1:16" ht="45">
      <c r="A33">
        <v>98</v>
      </c>
      <c r="B33" t="s">
        <v>8</v>
      </c>
      <c r="C33" s="15">
        <v>45360.020833333336</v>
      </c>
      <c r="D33" s="16">
        <v>-11.962397000000001</v>
      </c>
      <c r="E33" s="16">
        <v>-14.0083</v>
      </c>
      <c r="F33" s="16">
        <v>4.1933930000000004</v>
      </c>
      <c r="G33" s="16">
        <v>0.43970399999999998</v>
      </c>
      <c r="H33" s="17">
        <v>40</v>
      </c>
      <c r="I33" s="17">
        <v>1</v>
      </c>
      <c r="J33" t="s">
        <v>55</v>
      </c>
      <c r="K33" t="s">
        <v>9</v>
      </c>
      <c r="L33" t="s">
        <v>51</v>
      </c>
      <c r="M33" s="3" t="s">
        <v>154</v>
      </c>
      <c r="N33" s="3"/>
      <c r="O33" s="3"/>
      <c r="P33" s="3"/>
    </row>
    <row r="34" spans="1:16" ht="45">
      <c r="A34">
        <v>101</v>
      </c>
      <c r="B34" t="s">
        <v>8</v>
      </c>
      <c r="C34" s="15">
        <v>45364.958333333336</v>
      </c>
      <c r="D34" s="16">
        <v>-10.67632</v>
      </c>
      <c r="E34" s="16">
        <v>-8.3407499999999999</v>
      </c>
      <c r="F34" s="16">
        <v>3.7228000000000003</v>
      </c>
      <c r="G34" s="16">
        <v>0.32874999999999999</v>
      </c>
      <c r="H34" s="17">
        <v>97</v>
      </c>
      <c r="I34" s="17">
        <v>2</v>
      </c>
      <c r="J34" t="s">
        <v>55</v>
      </c>
      <c r="K34" t="s">
        <v>9</v>
      </c>
      <c r="L34" t="s">
        <v>51</v>
      </c>
      <c r="M34" s="3" t="s">
        <v>157</v>
      </c>
      <c r="N34" s="3"/>
      <c r="O34" s="3"/>
      <c r="P34" s="3"/>
    </row>
    <row r="35" spans="1:16" ht="45">
      <c r="A35">
        <v>102</v>
      </c>
      <c r="B35" t="s">
        <v>8</v>
      </c>
      <c r="C35" s="15">
        <v>45365.083333333336</v>
      </c>
      <c r="D35" s="16">
        <v>-10.847110000000001</v>
      </c>
      <c r="E35" s="16">
        <v>8.1306700000000003</v>
      </c>
      <c r="F35" s="16">
        <v>2.6801300000000001</v>
      </c>
      <c r="G35" s="16">
        <v>0.227546</v>
      </c>
      <c r="H35" s="17">
        <v>89</v>
      </c>
      <c r="I35" s="17">
        <v>2</v>
      </c>
      <c r="J35" t="s">
        <v>50</v>
      </c>
      <c r="K35" t="s">
        <v>9</v>
      </c>
      <c r="L35" t="s">
        <v>51</v>
      </c>
      <c r="M35" s="3" t="s">
        <v>158</v>
      </c>
      <c r="N35" s="3"/>
      <c r="O35" s="3"/>
      <c r="P35" s="3"/>
    </row>
    <row r="36" spans="1:16" ht="60">
      <c r="A36">
        <v>105</v>
      </c>
      <c r="B36" t="s">
        <v>8</v>
      </c>
      <c r="C36" s="15">
        <v>45372.291666666664</v>
      </c>
      <c r="D36" s="16">
        <v>-17.340929000000003</v>
      </c>
      <c r="E36" s="16">
        <v>-5.0270273999999997</v>
      </c>
      <c r="F36" s="16">
        <v>-3.8052079999999999</v>
      </c>
      <c r="G36" s="16">
        <v>0.60165800000000003</v>
      </c>
      <c r="H36" s="17">
        <v>100</v>
      </c>
      <c r="I36" s="17">
        <v>1</v>
      </c>
      <c r="J36" t="s">
        <v>55</v>
      </c>
      <c r="K36" t="s">
        <v>5</v>
      </c>
      <c r="L36" t="s">
        <v>64</v>
      </c>
      <c r="M36" s="3" t="s">
        <v>161</v>
      </c>
      <c r="N36" s="3" t="s">
        <v>5</v>
      </c>
      <c r="O36" s="3"/>
      <c r="P36" s="3"/>
    </row>
    <row r="37" spans="1:16" ht="45">
      <c r="A37">
        <v>107</v>
      </c>
      <c r="B37" t="s">
        <v>8</v>
      </c>
      <c r="C37" s="15">
        <v>45377.125</v>
      </c>
      <c r="D37" s="16">
        <v>-13.134079999999999</v>
      </c>
      <c r="E37" s="16">
        <v>-34.455959999999997</v>
      </c>
      <c r="F37" s="16">
        <v>-7.213913999999999</v>
      </c>
      <c r="G37" s="16">
        <v>0.67555100000000001</v>
      </c>
      <c r="H37" s="17">
        <v>69</v>
      </c>
      <c r="I37" s="17">
        <v>2</v>
      </c>
      <c r="J37" t="s">
        <v>60</v>
      </c>
      <c r="K37" t="s">
        <v>5</v>
      </c>
      <c r="L37" t="s">
        <v>64</v>
      </c>
      <c r="M37" s="3" t="s">
        <v>163</v>
      </c>
      <c r="N37" s="3" t="s">
        <v>5</v>
      </c>
      <c r="O37" s="3"/>
      <c r="P37" s="3"/>
    </row>
    <row r="38" spans="1:16" ht="45">
      <c r="A38">
        <v>109</v>
      </c>
      <c r="B38" t="s">
        <v>8</v>
      </c>
      <c r="C38" s="15">
        <v>45377.208333333336</v>
      </c>
      <c r="D38" s="16">
        <v>-9.36876</v>
      </c>
      <c r="E38" s="16">
        <v>86.52055</v>
      </c>
      <c r="F38" s="16">
        <v>-37.381060000000005</v>
      </c>
      <c r="G38" s="16">
        <v>0.57357800000000003</v>
      </c>
      <c r="H38" s="17">
        <v>38</v>
      </c>
      <c r="I38" s="17">
        <v>2</v>
      </c>
      <c r="J38" t="s">
        <v>60</v>
      </c>
      <c r="K38" t="s">
        <v>9</v>
      </c>
      <c r="L38" t="s">
        <v>51</v>
      </c>
      <c r="M38" s="3" t="s">
        <v>165</v>
      </c>
      <c r="N38" s="3"/>
      <c r="O38" s="3"/>
      <c r="P38" s="3"/>
    </row>
    <row r="39" spans="1:16" ht="45">
      <c r="A39">
        <v>110</v>
      </c>
      <c r="B39" t="s">
        <v>8</v>
      </c>
      <c r="C39" s="15">
        <v>45377.291666666664</v>
      </c>
      <c r="D39" s="16">
        <v>-6.46828</v>
      </c>
      <c r="E39" s="16">
        <v>-3.6419800000000002</v>
      </c>
      <c r="F39" s="16">
        <v>5.9899100000000001</v>
      </c>
      <c r="G39" s="16">
        <v>0.68180600000000002</v>
      </c>
      <c r="H39" s="17">
        <v>89</v>
      </c>
      <c r="I39" s="17">
        <v>2</v>
      </c>
      <c r="J39" t="s">
        <v>60</v>
      </c>
      <c r="K39" t="s">
        <v>9</v>
      </c>
      <c r="L39" t="s">
        <v>51</v>
      </c>
      <c r="M39" s="3" t="s">
        <v>166</v>
      </c>
      <c r="N39" s="3"/>
      <c r="O39" s="3"/>
      <c r="P39" s="3"/>
    </row>
    <row r="40" spans="1:16" ht="45">
      <c r="A40">
        <v>112</v>
      </c>
      <c r="B40" t="s">
        <v>8</v>
      </c>
      <c r="C40" s="15">
        <v>45377.958333333336</v>
      </c>
      <c r="D40" s="16">
        <v>-8.7175600000000006</v>
      </c>
      <c r="E40" s="16">
        <v>5.4893400000000003</v>
      </c>
      <c r="F40" s="16">
        <v>10.53411</v>
      </c>
      <c r="G40" s="16">
        <v>0.74612500000000004</v>
      </c>
      <c r="H40" s="17">
        <v>88</v>
      </c>
      <c r="I40" s="17">
        <v>2</v>
      </c>
      <c r="J40" t="s">
        <v>60</v>
      </c>
      <c r="K40" t="s">
        <v>9</v>
      </c>
      <c r="L40" t="s">
        <v>51</v>
      </c>
      <c r="M40" s="3" t="s">
        <v>168</v>
      </c>
      <c r="N40" s="3"/>
      <c r="O40" s="3"/>
      <c r="P40" s="3"/>
    </row>
    <row r="41" spans="1:16" ht="60">
      <c r="A41">
        <v>115</v>
      </c>
      <c r="B41" t="s">
        <v>8</v>
      </c>
      <c r="C41" s="15">
        <v>45597.145833333336</v>
      </c>
      <c r="D41" s="16">
        <v>-17.537679999999998</v>
      </c>
      <c r="E41" s="16">
        <v>6.6183231750000004</v>
      </c>
      <c r="F41" s="16">
        <v>-6.5387000000000004</v>
      </c>
      <c r="G41" s="16">
        <v>0.497365</v>
      </c>
      <c r="H41" s="17">
        <v>89</v>
      </c>
      <c r="I41" s="17">
        <v>2</v>
      </c>
      <c r="J41" t="s">
        <v>55</v>
      </c>
      <c r="K41" t="s">
        <v>5</v>
      </c>
      <c r="L41" t="s">
        <v>64</v>
      </c>
      <c r="M41" s="3" t="s">
        <v>171</v>
      </c>
      <c r="N41" s="3" t="s">
        <v>5</v>
      </c>
      <c r="O41" s="3"/>
      <c r="P41" s="3"/>
    </row>
    <row r="42" spans="1:16" ht="45">
      <c r="A42">
        <v>121</v>
      </c>
      <c r="B42" t="s">
        <v>8</v>
      </c>
      <c r="C42" s="15">
        <v>45601</v>
      </c>
      <c r="D42" s="16">
        <v>-12.4964</v>
      </c>
      <c r="E42" s="16">
        <v>-42.680439999999997</v>
      </c>
      <c r="F42" s="16">
        <v>0.32336999999999994</v>
      </c>
      <c r="G42" s="16">
        <v>0.48766700000000002</v>
      </c>
      <c r="H42" s="17">
        <v>61</v>
      </c>
      <c r="I42" s="17">
        <v>2</v>
      </c>
      <c r="J42" t="s">
        <v>60</v>
      </c>
      <c r="K42" t="s">
        <v>5</v>
      </c>
      <c r="L42" t="s">
        <v>64</v>
      </c>
      <c r="M42" s="3" t="s">
        <v>177</v>
      </c>
      <c r="N42" s="3" t="s">
        <v>5</v>
      </c>
      <c r="O42" s="3"/>
      <c r="P42" s="3"/>
    </row>
    <row r="43" spans="1:16" ht="60">
      <c r="A43">
        <v>126</v>
      </c>
      <c r="B43" t="s">
        <v>8</v>
      </c>
      <c r="C43" s="15">
        <v>45601.75</v>
      </c>
      <c r="D43" s="16">
        <v>-15.711450000000001</v>
      </c>
      <c r="E43" s="16">
        <v>16.009370000000001</v>
      </c>
      <c r="F43" s="16">
        <v>-5.24275</v>
      </c>
      <c r="G43" s="16">
        <v>0.53912400000000005</v>
      </c>
      <c r="H43" s="17">
        <v>59</v>
      </c>
      <c r="I43" s="17">
        <v>2</v>
      </c>
      <c r="J43" t="s">
        <v>55</v>
      </c>
      <c r="K43" t="s">
        <v>5</v>
      </c>
      <c r="L43" t="s">
        <v>64</v>
      </c>
      <c r="M43" s="3" t="s">
        <v>182</v>
      </c>
      <c r="N43" s="3" t="s">
        <v>5</v>
      </c>
      <c r="O43" s="3"/>
      <c r="P43" s="3"/>
    </row>
    <row r="44" spans="1:16" ht="45">
      <c r="A44">
        <v>129</v>
      </c>
      <c r="B44" t="s">
        <v>8</v>
      </c>
      <c r="C44" s="15">
        <v>45601.916666666664</v>
      </c>
      <c r="D44" s="16">
        <v>-11.53387</v>
      </c>
      <c r="E44" s="16">
        <v>13.414705</v>
      </c>
      <c r="F44" s="16">
        <v>5.9188499999999991</v>
      </c>
      <c r="G44" s="16">
        <v>0.40143099999999998</v>
      </c>
      <c r="H44" s="17">
        <v>66</v>
      </c>
      <c r="I44" s="17">
        <v>1</v>
      </c>
      <c r="J44" t="s">
        <v>50</v>
      </c>
      <c r="K44" t="s">
        <v>9</v>
      </c>
      <c r="L44" t="s">
        <v>51</v>
      </c>
      <c r="M44" s="3" t="s">
        <v>185</v>
      </c>
      <c r="N44" s="3"/>
      <c r="O44" s="3"/>
      <c r="P44" s="3"/>
    </row>
    <row r="45" spans="1:16" ht="45">
      <c r="A45">
        <v>135</v>
      </c>
      <c r="B45" t="s">
        <v>8</v>
      </c>
      <c r="C45" s="15">
        <v>45614.895833333336</v>
      </c>
      <c r="D45" s="16">
        <v>-10.0532</v>
      </c>
      <c r="E45" s="16">
        <v>40.073729999999998</v>
      </c>
      <c r="F45" s="16">
        <v>32.700808000000002</v>
      </c>
      <c r="G45" s="16">
        <v>0.58122200000000002</v>
      </c>
      <c r="H45" s="17">
        <v>60</v>
      </c>
      <c r="I45" s="17">
        <v>2</v>
      </c>
      <c r="J45" t="s">
        <v>50</v>
      </c>
      <c r="K45" t="s">
        <v>9</v>
      </c>
      <c r="L45" t="s">
        <v>51</v>
      </c>
      <c r="M45" s="3" t="s">
        <v>191</v>
      </c>
      <c r="N45" s="3"/>
      <c r="O45" s="3"/>
      <c r="P45" s="3"/>
    </row>
    <row r="46" spans="1:16" ht="45">
      <c r="A46">
        <v>136</v>
      </c>
      <c r="B46" t="s">
        <v>8</v>
      </c>
      <c r="C46" s="15">
        <v>45615</v>
      </c>
      <c r="D46" s="16">
        <v>-11.84878</v>
      </c>
      <c r="E46" s="16">
        <v>1.3973000000000004</v>
      </c>
      <c r="F46" s="16">
        <v>-0.69921000000000011</v>
      </c>
      <c r="G46" s="16">
        <v>0.65986199999999995</v>
      </c>
      <c r="H46" s="17">
        <v>85</v>
      </c>
      <c r="I46" s="17">
        <v>2</v>
      </c>
      <c r="J46" t="s">
        <v>50</v>
      </c>
      <c r="K46" t="s">
        <v>9</v>
      </c>
      <c r="L46" t="s">
        <v>51</v>
      </c>
      <c r="M46" s="3" t="s">
        <v>192</v>
      </c>
      <c r="N46" s="3"/>
      <c r="O46" s="3"/>
      <c r="P46" s="3"/>
    </row>
    <row r="47" spans="1:16" ht="45">
      <c r="A47">
        <v>143</v>
      </c>
      <c r="B47" t="s">
        <v>8</v>
      </c>
      <c r="C47" s="15">
        <v>45618.916666666664</v>
      </c>
      <c r="D47" s="16">
        <v>-12.228940000000001</v>
      </c>
      <c r="E47" s="16">
        <v>6.9237799999999998</v>
      </c>
      <c r="F47" s="16">
        <v>-4.5444200000000006</v>
      </c>
      <c r="G47" s="16">
        <v>0.48252600000000001</v>
      </c>
      <c r="H47" s="17">
        <v>90</v>
      </c>
      <c r="I47" s="17">
        <v>2</v>
      </c>
      <c r="J47" t="s">
        <v>50</v>
      </c>
      <c r="K47" t="s">
        <v>5</v>
      </c>
      <c r="L47" t="s">
        <v>64</v>
      </c>
      <c r="M47" s="3" t="s">
        <v>199</v>
      </c>
      <c r="N47" s="3" t="s">
        <v>5</v>
      </c>
      <c r="O47" s="3"/>
      <c r="P47" s="3"/>
    </row>
    <row r="48" spans="1:16" ht="60">
      <c r="A48">
        <v>149</v>
      </c>
      <c r="B48" t="s">
        <v>8</v>
      </c>
      <c r="C48" s="15">
        <v>45622.145833333336</v>
      </c>
      <c r="D48" s="16">
        <v>-18.875309999999999</v>
      </c>
      <c r="E48" s="16">
        <v>3.4319099999999993</v>
      </c>
      <c r="F48" s="16">
        <v>-6.8392300000000006</v>
      </c>
      <c r="G48" s="16">
        <v>0.60674300000000003</v>
      </c>
      <c r="H48" s="17">
        <v>71</v>
      </c>
      <c r="I48" s="17">
        <v>1</v>
      </c>
      <c r="J48" t="s">
        <v>55</v>
      </c>
      <c r="K48" t="s">
        <v>5</v>
      </c>
      <c r="L48" t="s">
        <v>64</v>
      </c>
      <c r="M48" s="3" t="s">
        <v>205</v>
      </c>
      <c r="N48" s="3" t="s">
        <v>5</v>
      </c>
      <c r="O48" s="3"/>
      <c r="P48" s="3"/>
    </row>
    <row r="49" spans="1:16" ht="45">
      <c r="A49">
        <v>153</v>
      </c>
      <c r="B49" t="s">
        <v>8</v>
      </c>
      <c r="C49" s="15">
        <v>45642.375</v>
      </c>
      <c r="D49" s="16">
        <v>-10.754912000000001</v>
      </c>
      <c r="E49" s="16">
        <v>-23.444510000000001</v>
      </c>
      <c r="F49" s="16">
        <v>17.822580000000002</v>
      </c>
      <c r="G49" s="16">
        <v>0.392681</v>
      </c>
      <c r="H49" s="17">
        <v>36</v>
      </c>
      <c r="I49" s="17">
        <v>0</v>
      </c>
      <c r="J49" t="s">
        <v>55</v>
      </c>
      <c r="K49" t="s">
        <v>9</v>
      </c>
      <c r="L49" t="s">
        <v>51</v>
      </c>
      <c r="M49" s="3" t="s">
        <v>209</v>
      </c>
      <c r="N49" s="3"/>
      <c r="O49" s="3"/>
      <c r="P49" s="3"/>
    </row>
    <row r="50" spans="1:16" ht="45">
      <c r="A50">
        <v>156</v>
      </c>
      <c r="B50" t="s">
        <v>8</v>
      </c>
      <c r="C50" s="15">
        <v>45649.854166666664</v>
      </c>
      <c r="D50" s="16">
        <v>-6.3778600000000001</v>
      </c>
      <c r="E50" s="16">
        <v>6.8777299999999997</v>
      </c>
      <c r="F50" s="16">
        <v>30.9452</v>
      </c>
      <c r="G50" s="16">
        <v>0.22906299999999999</v>
      </c>
      <c r="H50" s="17">
        <v>64</v>
      </c>
      <c r="I50" s="17">
        <v>1</v>
      </c>
      <c r="J50" t="s">
        <v>60</v>
      </c>
      <c r="K50" t="s">
        <v>9</v>
      </c>
      <c r="L50" t="s">
        <v>51</v>
      </c>
      <c r="M50" s="3" t="s">
        <v>212</v>
      </c>
      <c r="N50" s="3"/>
      <c r="O50" s="3"/>
      <c r="P50" s="3"/>
    </row>
    <row r="51" spans="1:16" ht="45">
      <c r="A51">
        <v>158</v>
      </c>
      <c r="B51" t="s">
        <v>8</v>
      </c>
      <c r="C51" s="15">
        <v>45652.166666666664</v>
      </c>
      <c r="D51" s="16">
        <v>-5.9151790000000002</v>
      </c>
      <c r="E51" s="16">
        <v>-30.209599999999998</v>
      </c>
      <c r="F51" s="16">
        <v>-16.405094999999999</v>
      </c>
      <c r="G51" s="16">
        <v>0.254861</v>
      </c>
      <c r="H51" s="17">
        <v>25</v>
      </c>
      <c r="I51" s="17">
        <v>1</v>
      </c>
      <c r="J51" t="s">
        <v>55</v>
      </c>
      <c r="K51" t="s">
        <v>9</v>
      </c>
      <c r="L51" t="s">
        <v>51</v>
      </c>
      <c r="M51" s="3" t="s">
        <v>214</v>
      </c>
      <c r="N51" s="3"/>
      <c r="O51" s="3"/>
      <c r="P51" s="3"/>
    </row>
    <row r="52" spans="1:16" ht="45">
      <c r="A52">
        <v>160</v>
      </c>
      <c r="B52" t="s">
        <v>8</v>
      </c>
      <c r="C52" s="15">
        <v>45652.270833333336</v>
      </c>
      <c r="D52" s="16">
        <v>-6.1658660000000003</v>
      </c>
      <c r="E52" s="16">
        <v>-0.69421169999999999</v>
      </c>
      <c r="F52" s="16">
        <v>-11.28561</v>
      </c>
      <c r="G52" s="16">
        <v>0.268152</v>
      </c>
      <c r="H52" s="17">
        <v>29</v>
      </c>
      <c r="I52" s="17">
        <v>2</v>
      </c>
      <c r="J52" t="s">
        <v>55</v>
      </c>
      <c r="K52" t="s">
        <v>9</v>
      </c>
      <c r="L52" t="s">
        <v>51</v>
      </c>
      <c r="M52" s="3" t="s">
        <v>216</v>
      </c>
      <c r="N52" s="3"/>
      <c r="O52" s="3"/>
      <c r="P52" s="3"/>
    </row>
    <row r="53" spans="1:16" ht="60">
      <c r="A53">
        <v>161</v>
      </c>
      <c r="B53" t="s">
        <v>8</v>
      </c>
      <c r="C53" s="15">
        <v>45652.291666666664</v>
      </c>
      <c r="D53" s="16">
        <v>-11.28561</v>
      </c>
      <c r="E53" s="16">
        <v>-6.1658660000000003</v>
      </c>
      <c r="F53" s="16">
        <v>-10.179939999999998</v>
      </c>
      <c r="G53" s="16">
        <v>0.29380899999999999</v>
      </c>
      <c r="H53" s="17">
        <v>69</v>
      </c>
      <c r="I53" s="17">
        <v>2</v>
      </c>
      <c r="J53" t="s">
        <v>55</v>
      </c>
      <c r="K53" t="s">
        <v>9</v>
      </c>
      <c r="L53" t="s">
        <v>51</v>
      </c>
      <c r="M53" s="3" t="s">
        <v>217</v>
      </c>
      <c r="N53" s="3"/>
      <c r="O53" s="3"/>
      <c r="P53" s="3"/>
    </row>
    <row r="54" spans="1:16" ht="60">
      <c r="A54">
        <v>162</v>
      </c>
      <c r="B54" t="s">
        <v>8</v>
      </c>
      <c r="C54" s="15">
        <v>45652.3125</v>
      </c>
      <c r="D54" s="16">
        <v>-10.179939999999998</v>
      </c>
      <c r="E54" s="16">
        <v>-11.28561</v>
      </c>
      <c r="F54" s="16">
        <v>4.0276269999999998</v>
      </c>
      <c r="G54" s="16">
        <v>0.25748500000000002</v>
      </c>
      <c r="H54" s="17">
        <v>58</v>
      </c>
      <c r="I54" s="17">
        <v>2</v>
      </c>
      <c r="J54" t="s">
        <v>55</v>
      </c>
      <c r="K54" t="s">
        <v>9</v>
      </c>
      <c r="L54" t="s">
        <v>51</v>
      </c>
      <c r="M54" s="3" t="s">
        <v>218</v>
      </c>
      <c r="N54" s="3"/>
      <c r="O54" s="3"/>
      <c r="P54" s="3"/>
    </row>
    <row r="55" spans="1:16" ht="45">
      <c r="A55">
        <v>164</v>
      </c>
      <c r="B55" t="s">
        <v>8</v>
      </c>
      <c r="C55" s="15">
        <v>45653.083333333336</v>
      </c>
      <c r="D55" s="16">
        <v>-7.0076499999999999</v>
      </c>
      <c r="E55" s="16">
        <v>-38.373000000000005</v>
      </c>
      <c r="F55" s="16">
        <v>33.655052999999995</v>
      </c>
      <c r="G55" s="16">
        <v>0.37414700000000001</v>
      </c>
      <c r="H55" s="17">
        <v>21</v>
      </c>
      <c r="I55" s="17">
        <v>2</v>
      </c>
      <c r="J55" t="s">
        <v>60</v>
      </c>
      <c r="K55" t="s">
        <v>9</v>
      </c>
      <c r="L55" t="s">
        <v>51</v>
      </c>
      <c r="M55" s="3" t="s">
        <v>220</v>
      </c>
      <c r="N55" s="3"/>
      <c r="O55" s="3"/>
      <c r="P55" s="3"/>
    </row>
    <row r="56" spans="1:16" ht="45">
      <c r="A56">
        <v>177</v>
      </c>
      <c r="B56" t="s">
        <v>8</v>
      </c>
      <c r="C56" s="15">
        <v>45656.125</v>
      </c>
      <c r="D56" s="16">
        <v>-11.69056</v>
      </c>
      <c r="E56" s="16">
        <v>-14.441180000000001</v>
      </c>
      <c r="F56" s="16">
        <v>13.17679</v>
      </c>
      <c r="G56" s="16">
        <v>0.62863599999999997</v>
      </c>
      <c r="H56" s="17">
        <v>52</v>
      </c>
      <c r="I56" s="17">
        <v>1</v>
      </c>
      <c r="J56" t="s">
        <v>60</v>
      </c>
      <c r="K56" t="s">
        <v>5</v>
      </c>
      <c r="L56" t="s">
        <v>64</v>
      </c>
      <c r="M56" s="3" t="s">
        <v>233</v>
      </c>
      <c r="N56" s="3" t="s">
        <v>5</v>
      </c>
      <c r="O56" s="3"/>
      <c r="P56" s="3"/>
    </row>
    <row r="57" spans="1:16" ht="75">
      <c r="A57">
        <v>180</v>
      </c>
      <c r="B57" t="s">
        <v>8</v>
      </c>
      <c r="C57" s="15">
        <v>45657.1875</v>
      </c>
      <c r="D57" s="16">
        <v>-11.6015</v>
      </c>
      <c r="E57" s="16">
        <v>0.43344999999999989</v>
      </c>
      <c r="F57" s="16">
        <v>11.02633</v>
      </c>
      <c r="G57" s="16">
        <v>0.16197800000000001</v>
      </c>
      <c r="H57" s="17">
        <v>20</v>
      </c>
      <c r="I57" s="17">
        <v>0</v>
      </c>
      <c r="J57" t="s">
        <v>50</v>
      </c>
      <c r="K57" t="s">
        <v>5</v>
      </c>
      <c r="L57" t="s">
        <v>64</v>
      </c>
      <c r="M57" s="3" t="s">
        <v>236</v>
      </c>
      <c r="N57" s="3" t="s">
        <v>5</v>
      </c>
      <c r="O57" s="3"/>
      <c r="P57" s="3"/>
    </row>
    <row r="58" spans="1:16" ht="45">
      <c r="A58">
        <v>183</v>
      </c>
      <c r="B58" t="s">
        <v>8</v>
      </c>
      <c r="C58" s="15">
        <v>45657.333333333336</v>
      </c>
      <c r="D58" s="16">
        <v>-7.2122500000000009</v>
      </c>
      <c r="E58" s="16">
        <v>-23.847169999999998</v>
      </c>
      <c r="F58" s="16">
        <v>-62.6113</v>
      </c>
      <c r="G58" s="16">
        <v>0.52026099999999997</v>
      </c>
      <c r="H58" s="17">
        <v>67</v>
      </c>
      <c r="I58" s="17">
        <v>2</v>
      </c>
      <c r="J58" t="s">
        <v>60</v>
      </c>
      <c r="K58" t="s">
        <v>9</v>
      </c>
      <c r="L58" t="s">
        <v>51</v>
      </c>
      <c r="M58" s="3" t="s">
        <v>239</v>
      </c>
      <c r="N58" s="3"/>
      <c r="O58" s="3"/>
      <c r="P58" s="3"/>
    </row>
  </sheetData>
  <conditionalFormatting sqref="K2:K58">
    <cfRule type="expression" dxfId="4" priority="1">
      <formula>K2="remove"</formula>
    </cfRule>
    <cfRule type="expression" dxfId="3" priority="2">
      <formula>K2="verify"</formula>
    </cfRule>
  </conditionalFormatting>
  <dataValidations count="1">
    <dataValidation type="list" sqref="O2:O58" xr:uid="{00000000-0002-0000-0200-000000000000}">
      <formula1>"keep,remove"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baseColWidth="10" defaultColWidth="8.83203125" defaultRowHeight="14"/>
  <cols>
    <col min="1" max="1" width="10" customWidth="1"/>
    <col min="2" max="2" width="7" customWidth="1"/>
    <col min="3" max="3" width="20" customWidth="1"/>
    <col min="4" max="4" width="11" customWidth="1"/>
    <col min="5" max="5" width="22" customWidth="1"/>
    <col min="6" max="6" width="24" customWidth="1"/>
    <col min="7" max="7" width="11" customWidth="1"/>
    <col min="8" max="8" width="27" customWidth="1"/>
    <col min="9" max="9" width="78" customWidth="1"/>
  </cols>
  <sheetData>
    <row r="1" spans="1:9" ht="32">
      <c r="A1" s="1" t="s">
        <v>29</v>
      </c>
      <c r="B1" s="1" t="s">
        <v>4</v>
      </c>
      <c r="C1" s="1" t="s">
        <v>30</v>
      </c>
      <c r="D1" s="1" t="s">
        <v>31</v>
      </c>
      <c r="E1" s="1" t="s">
        <v>241</v>
      </c>
      <c r="F1" s="1" t="s">
        <v>44</v>
      </c>
      <c r="G1" s="1" t="s">
        <v>45</v>
      </c>
      <c r="H1" s="1" t="s">
        <v>242</v>
      </c>
      <c r="I1" s="1" t="s">
        <v>240</v>
      </c>
    </row>
    <row r="2" spans="1:9" ht="45">
      <c r="A2">
        <v>1</v>
      </c>
      <c r="B2" t="s">
        <v>6</v>
      </c>
      <c r="C2" s="15">
        <v>45302.8125</v>
      </c>
      <c r="D2" s="16">
        <v>-10.053470000000001</v>
      </c>
      <c r="E2" t="s">
        <v>5</v>
      </c>
      <c r="F2" t="s">
        <v>9</v>
      </c>
      <c r="G2" t="s">
        <v>51</v>
      </c>
      <c r="H2" t="s">
        <v>50</v>
      </c>
      <c r="I2" s="3" t="s">
        <v>52</v>
      </c>
    </row>
    <row r="3" spans="1:9" ht="45">
      <c r="A3">
        <v>10</v>
      </c>
      <c r="B3" t="s">
        <v>6</v>
      </c>
      <c r="C3" s="15">
        <v>45350.020833333336</v>
      </c>
      <c r="D3" s="16">
        <v>-9.3880800000000004</v>
      </c>
      <c r="E3" t="s">
        <v>9</v>
      </c>
      <c r="F3" t="s">
        <v>7</v>
      </c>
      <c r="G3" t="s">
        <v>64</v>
      </c>
      <c r="H3" t="s">
        <v>55</v>
      </c>
      <c r="I3" s="3" t="s">
        <v>66</v>
      </c>
    </row>
    <row r="4" spans="1:9" ht="45">
      <c r="A4">
        <v>15</v>
      </c>
      <c r="B4" t="s">
        <v>6</v>
      </c>
      <c r="C4" s="15">
        <v>45367.9375</v>
      </c>
      <c r="D4" s="16">
        <v>-8.1275200000000005</v>
      </c>
      <c r="E4" t="s">
        <v>9</v>
      </c>
      <c r="F4" t="s">
        <v>7</v>
      </c>
      <c r="G4" t="s">
        <v>64</v>
      </c>
      <c r="H4" t="s">
        <v>50</v>
      </c>
      <c r="I4" s="3" t="s">
        <v>71</v>
      </c>
    </row>
    <row r="5" spans="1:9" ht="45">
      <c r="A5">
        <v>19</v>
      </c>
      <c r="B5" t="s">
        <v>6</v>
      </c>
      <c r="C5" s="15">
        <v>45377.9375</v>
      </c>
      <c r="D5" s="16">
        <v>-9.8428399999999989</v>
      </c>
      <c r="E5" t="s">
        <v>5</v>
      </c>
      <c r="F5" t="s">
        <v>7</v>
      </c>
      <c r="G5" t="s">
        <v>64</v>
      </c>
      <c r="H5" t="s">
        <v>50</v>
      </c>
      <c r="I5" s="3" t="s">
        <v>75</v>
      </c>
    </row>
    <row r="6" spans="1:9" ht="45">
      <c r="A6">
        <v>21</v>
      </c>
      <c r="B6" t="s">
        <v>6</v>
      </c>
      <c r="C6" s="15">
        <v>45597.270833333336</v>
      </c>
      <c r="D6" s="16">
        <v>-5.7013099999999994</v>
      </c>
      <c r="E6" t="s">
        <v>7</v>
      </c>
      <c r="F6" t="s">
        <v>9</v>
      </c>
      <c r="G6" t="s">
        <v>51</v>
      </c>
      <c r="H6" t="s">
        <v>60</v>
      </c>
      <c r="I6" s="3" t="s">
        <v>77</v>
      </c>
    </row>
    <row r="7" spans="1:9" ht="45">
      <c r="A7">
        <v>32</v>
      </c>
      <c r="B7" t="s">
        <v>6</v>
      </c>
      <c r="C7" s="15">
        <v>45609.916666666664</v>
      </c>
      <c r="D7" s="16">
        <v>-8.7609099999999991</v>
      </c>
      <c r="E7" t="s">
        <v>7</v>
      </c>
      <c r="F7" t="s">
        <v>9</v>
      </c>
      <c r="G7" t="s">
        <v>51</v>
      </c>
      <c r="H7" t="s">
        <v>60</v>
      </c>
      <c r="I7" s="3" t="s">
        <v>88</v>
      </c>
    </row>
    <row r="8" spans="1:9" ht="45">
      <c r="A8">
        <v>50</v>
      </c>
      <c r="B8" t="s">
        <v>6</v>
      </c>
      <c r="C8" s="15">
        <v>45622.104166666664</v>
      </c>
      <c r="D8" s="16">
        <v>-10.439969999999999</v>
      </c>
      <c r="E8" t="s">
        <v>5</v>
      </c>
      <c r="F8" t="s">
        <v>9</v>
      </c>
      <c r="G8" t="s">
        <v>51</v>
      </c>
      <c r="H8" t="s">
        <v>50</v>
      </c>
      <c r="I8" s="3" t="s">
        <v>106</v>
      </c>
    </row>
    <row r="9" spans="1:9" ht="45">
      <c r="A9">
        <v>52</v>
      </c>
      <c r="B9" t="s">
        <v>6</v>
      </c>
      <c r="C9" s="15">
        <v>45642.729166666664</v>
      </c>
      <c r="D9" s="16">
        <v>-7.4310499999999999</v>
      </c>
      <c r="E9" t="s">
        <v>9</v>
      </c>
      <c r="F9" t="s">
        <v>7</v>
      </c>
      <c r="G9" t="s">
        <v>64</v>
      </c>
      <c r="H9" t="s">
        <v>50</v>
      </c>
      <c r="I9" s="3" t="s">
        <v>108</v>
      </c>
    </row>
    <row r="10" spans="1:9" ht="45">
      <c r="A10">
        <v>56</v>
      </c>
      <c r="B10" t="s">
        <v>6</v>
      </c>
      <c r="C10" s="15">
        <v>45653.0625</v>
      </c>
      <c r="D10" s="16">
        <v>-8.0867799999999992</v>
      </c>
      <c r="E10" t="s">
        <v>5</v>
      </c>
      <c r="F10" t="s">
        <v>9</v>
      </c>
      <c r="G10" t="s">
        <v>51</v>
      </c>
      <c r="H10" t="s">
        <v>55</v>
      </c>
      <c r="I10" s="3" t="s">
        <v>112</v>
      </c>
    </row>
    <row r="11" spans="1:9" ht="45">
      <c r="A11">
        <v>57</v>
      </c>
      <c r="B11" t="s">
        <v>6</v>
      </c>
      <c r="C11" s="15">
        <v>45653.208333333336</v>
      </c>
      <c r="D11" s="16">
        <v>-10.270020000000001</v>
      </c>
      <c r="E11" t="s">
        <v>5</v>
      </c>
      <c r="F11" t="s">
        <v>9</v>
      </c>
      <c r="G11" t="s">
        <v>51</v>
      </c>
      <c r="H11" t="s">
        <v>50</v>
      </c>
      <c r="I11" s="3" t="s">
        <v>113</v>
      </c>
    </row>
    <row r="12" spans="1:9" ht="45">
      <c r="A12">
        <v>59</v>
      </c>
      <c r="B12" t="s">
        <v>6</v>
      </c>
      <c r="C12" s="15">
        <v>45653.770833333336</v>
      </c>
      <c r="D12" s="16">
        <v>-8.86111</v>
      </c>
      <c r="E12" t="s">
        <v>5</v>
      </c>
      <c r="F12" t="s">
        <v>9</v>
      </c>
      <c r="G12" t="s">
        <v>51</v>
      </c>
      <c r="H12" t="s">
        <v>60</v>
      </c>
      <c r="I12" s="3" t="s">
        <v>115</v>
      </c>
    </row>
    <row r="13" spans="1:9" ht="45">
      <c r="A13">
        <v>67</v>
      </c>
      <c r="B13" t="s">
        <v>6</v>
      </c>
      <c r="C13" s="15">
        <v>45656.041666666664</v>
      </c>
      <c r="D13" s="16">
        <v>-9.1809000000000012</v>
      </c>
      <c r="E13" t="s">
        <v>5</v>
      </c>
      <c r="F13" t="s">
        <v>9</v>
      </c>
      <c r="G13" t="s">
        <v>51</v>
      </c>
      <c r="H13" t="s">
        <v>55</v>
      </c>
      <c r="I13" s="3" t="s">
        <v>123</v>
      </c>
    </row>
    <row r="14" spans="1:9" ht="60">
      <c r="A14">
        <v>78</v>
      </c>
      <c r="B14" t="s">
        <v>8</v>
      </c>
      <c r="C14" s="15">
        <v>45318.291666666664</v>
      </c>
      <c r="D14" s="16">
        <v>-5.4783800000000005</v>
      </c>
      <c r="E14" t="s">
        <v>9</v>
      </c>
      <c r="F14" t="s">
        <v>7</v>
      </c>
      <c r="G14" t="s">
        <v>64</v>
      </c>
      <c r="H14" t="s">
        <v>58</v>
      </c>
      <c r="I14" s="3" t="s">
        <v>134</v>
      </c>
    </row>
    <row r="15" spans="1:9" ht="45">
      <c r="A15">
        <v>79</v>
      </c>
      <c r="B15" t="s">
        <v>8</v>
      </c>
      <c r="C15" s="15">
        <v>45319.166666666664</v>
      </c>
      <c r="D15" s="16">
        <v>-8.7546900000000019</v>
      </c>
      <c r="E15" t="s">
        <v>5</v>
      </c>
      <c r="F15" t="s">
        <v>7</v>
      </c>
      <c r="G15" t="s">
        <v>64</v>
      </c>
      <c r="H15" t="s">
        <v>50</v>
      </c>
      <c r="I15" s="3" t="s">
        <v>135</v>
      </c>
    </row>
    <row r="16" spans="1:9" ht="45">
      <c r="A16">
        <v>81</v>
      </c>
      <c r="B16" t="s">
        <v>8</v>
      </c>
      <c r="C16" s="15">
        <v>45337.270833333336</v>
      </c>
      <c r="D16" s="16">
        <v>-6.1196000000000019</v>
      </c>
      <c r="E16" t="s">
        <v>5</v>
      </c>
      <c r="F16" t="s">
        <v>9</v>
      </c>
      <c r="G16" t="s">
        <v>51</v>
      </c>
      <c r="H16" t="s">
        <v>60</v>
      </c>
      <c r="I16" s="3" t="s">
        <v>137</v>
      </c>
    </row>
    <row r="17" spans="1:9" ht="45">
      <c r="A17">
        <v>86</v>
      </c>
      <c r="B17" t="s">
        <v>8</v>
      </c>
      <c r="C17" s="15">
        <v>45350.3125</v>
      </c>
      <c r="D17" s="16">
        <v>-6.4224509999999997</v>
      </c>
      <c r="E17" t="s">
        <v>7</v>
      </c>
      <c r="F17" t="s">
        <v>9</v>
      </c>
      <c r="G17" t="s">
        <v>51</v>
      </c>
      <c r="H17" t="s">
        <v>60</v>
      </c>
      <c r="I17" s="3" t="s">
        <v>142</v>
      </c>
    </row>
    <row r="18" spans="1:9" ht="45">
      <c r="A18">
        <v>98</v>
      </c>
      <c r="B18" t="s">
        <v>8</v>
      </c>
      <c r="C18" s="15">
        <v>45360.020833333336</v>
      </c>
      <c r="D18" s="16">
        <v>-11.962397000000001</v>
      </c>
      <c r="E18" t="s">
        <v>5</v>
      </c>
      <c r="F18" t="s">
        <v>9</v>
      </c>
      <c r="G18" t="s">
        <v>51</v>
      </c>
      <c r="H18" t="s">
        <v>55</v>
      </c>
      <c r="I18" s="3" t="s">
        <v>154</v>
      </c>
    </row>
    <row r="19" spans="1:9" ht="45">
      <c r="A19">
        <v>101</v>
      </c>
      <c r="B19" t="s">
        <v>8</v>
      </c>
      <c r="C19" s="15">
        <v>45364.958333333336</v>
      </c>
      <c r="D19" s="16">
        <v>-10.67632</v>
      </c>
      <c r="E19" t="s">
        <v>5</v>
      </c>
      <c r="F19" t="s">
        <v>9</v>
      </c>
      <c r="G19" t="s">
        <v>51</v>
      </c>
      <c r="H19" t="s">
        <v>55</v>
      </c>
      <c r="I19" s="3" t="s">
        <v>157</v>
      </c>
    </row>
    <row r="20" spans="1:9" ht="45">
      <c r="A20">
        <v>102</v>
      </c>
      <c r="B20" t="s">
        <v>8</v>
      </c>
      <c r="C20" s="15">
        <v>45365.083333333336</v>
      </c>
      <c r="D20" s="16">
        <v>-10.847110000000001</v>
      </c>
      <c r="E20" t="s">
        <v>5</v>
      </c>
      <c r="F20" t="s">
        <v>9</v>
      </c>
      <c r="G20" t="s">
        <v>51</v>
      </c>
      <c r="H20" t="s">
        <v>50</v>
      </c>
      <c r="I20" s="3" t="s">
        <v>158</v>
      </c>
    </row>
    <row r="21" spans="1:9" ht="45">
      <c r="A21">
        <v>110</v>
      </c>
      <c r="B21" t="s">
        <v>8</v>
      </c>
      <c r="C21" s="15">
        <v>45377.291666666664</v>
      </c>
      <c r="D21" s="16">
        <v>-6.46828</v>
      </c>
      <c r="E21" t="s">
        <v>7</v>
      </c>
      <c r="F21" t="s">
        <v>9</v>
      </c>
      <c r="G21" t="s">
        <v>51</v>
      </c>
      <c r="H21" t="s">
        <v>60</v>
      </c>
      <c r="I21" s="3" t="s">
        <v>166</v>
      </c>
    </row>
    <row r="22" spans="1:9" ht="45">
      <c r="A22">
        <v>127</v>
      </c>
      <c r="B22" t="s">
        <v>8</v>
      </c>
      <c r="C22" s="15">
        <v>45601.770833333336</v>
      </c>
      <c r="D22" s="16">
        <v>-5.24275</v>
      </c>
      <c r="E22" t="s">
        <v>9</v>
      </c>
      <c r="F22" t="s">
        <v>7</v>
      </c>
      <c r="G22" t="s">
        <v>53</v>
      </c>
      <c r="H22" t="s">
        <v>55</v>
      </c>
      <c r="I22" s="3" t="s">
        <v>183</v>
      </c>
    </row>
    <row r="23" spans="1:9" ht="45">
      <c r="A23">
        <v>129</v>
      </c>
      <c r="B23" t="s">
        <v>8</v>
      </c>
      <c r="C23" s="15">
        <v>45601.916666666664</v>
      </c>
      <c r="D23" s="16">
        <v>-11.53387</v>
      </c>
      <c r="E23" t="s">
        <v>5</v>
      </c>
      <c r="F23" t="s">
        <v>9</v>
      </c>
      <c r="G23" t="s">
        <v>51</v>
      </c>
      <c r="H23" t="s">
        <v>50</v>
      </c>
      <c r="I23" s="3" t="s">
        <v>185</v>
      </c>
    </row>
    <row r="24" spans="1:9" ht="45">
      <c r="A24">
        <v>133</v>
      </c>
      <c r="B24" t="s">
        <v>8</v>
      </c>
      <c r="C24" s="15">
        <v>45614.791666666664</v>
      </c>
      <c r="D24" s="16">
        <v>-8.0952200000000012</v>
      </c>
      <c r="E24" t="s">
        <v>9</v>
      </c>
      <c r="F24" t="s">
        <v>7</v>
      </c>
      <c r="G24" t="s">
        <v>64</v>
      </c>
      <c r="H24" t="s">
        <v>50</v>
      </c>
      <c r="I24" s="3" t="s">
        <v>189</v>
      </c>
    </row>
    <row r="25" spans="1:9" ht="45">
      <c r="A25">
        <v>134</v>
      </c>
      <c r="B25" t="s">
        <v>8</v>
      </c>
      <c r="C25" s="15">
        <v>45614.833333333336</v>
      </c>
      <c r="D25" s="16">
        <v>-8.7024799999999995</v>
      </c>
      <c r="E25" t="s">
        <v>9</v>
      </c>
      <c r="F25" t="s">
        <v>7</v>
      </c>
      <c r="G25" t="s">
        <v>64</v>
      </c>
      <c r="H25" t="s">
        <v>50</v>
      </c>
      <c r="I25" s="3" t="s">
        <v>190</v>
      </c>
    </row>
    <row r="26" spans="1:9" ht="45">
      <c r="A26">
        <v>135</v>
      </c>
      <c r="B26" t="s">
        <v>8</v>
      </c>
      <c r="C26" s="15">
        <v>45614.895833333336</v>
      </c>
      <c r="D26" s="16">
        <v>-10.0532</v>
      </c>
      <c r="E26" t="s">
        <v>5</v>
      </c>
      <c r="F26" t="s">
        <v>9</v>
      </c>
      <c r="G26" t="s">
        <v>51</v>
      </c>
      <c r="H26" t="s">
        <v>50</v>
      </c>
      <c r="I26" s="3" t="s">
        <v>191</v>
      </c>
    </row>
    <row r="27" spans="1:9" ht="45">
      <c r="A27">
        <v>136</v>
      </c>
      <c r="B27" t="s">
        <v>8</v>
      </c>
      <c r="C27" s="15">
        <v>45615</v>
      </c>
      <c r="D27" s="16">
        <v>-11.84878</v>
      </c>
      <c r="E27" t="s">
        <v>5</v>
      </c>
      <c r="F27" t="s">
        <v>9</v>
      </c>
      <c r="G27" t="s">
        <v>51</v>
      </c>
      <c r="H27" t="s">
        <v>50</v>
      </c>
      <c r="I27" s="3" t="s">
        <v>192</v>
      </c>
    </row>
    <row r="28" spans="1:9" ht="45">
      <c r="A28">
        <v>139</v>
      </c>
      <c r="B28" t="s">
        <v>8</v>
      </c>
      <c r="C28" s="15">
        <v>45617.083333333336</v>
      </c>
      <c r="D28" s="16">
        <v>-5.2560900000000004</v>
      </c>
      <c r="E28" t="s">
        <v>9</v>
      </c>
      <c r="F28" t="s">
        <v>7</v>
      </c>
      <c r="G28" t="s">
        <v>64</v>
      </c>
      <c r="H28" t="s">
        <v>55</v>
      </c>
      <c r="I28" s="3" t="s">
        <v>195</v>
      </c>
    </row>
    <row r="29" spans="1:9" ht="45">
      <c r="A29">
        <v>147</v>
      </c>
      <c r="B29" t="s">
        <v>8</v>
      </c>
      <c r="C29" s="15">
        <v>45622.083333333336</v>
      </c>
      <c r="D29" s="16">
        <v>-9.53308</v>
      </c>
      <c r="E29" t="s">
        <v>5</v>
      </c>
      <c r="F29" t="s">
        <v>7</v>
      </c>
      <c r="G29" t="s">
        <v>64</v>
      </c>
      <c r="H29" t="s">
        <v>55</v>
      </c>
      <c r="I29" s="3" t="s">
        <v>203</v>
      </c>
    </row>
    <row r="30" spans="1:9" ht="45">
      <c r="A30">
        <v>153</v>
      </c>
      <c r="B30" t="s">
        <v>8</v>
      </c>
      <c r="C30" s="15">
        <v>45642.375</v>
      </c>
      <c r="D30" s="16">
        <v>-10.754912000000001</v>
      </c>
      <c r="E30" t="s">
        <v>5</v>
      </c>
      <c r="F30" t="s">
        <v>9</v>
      </c>
      <c r="G30" t="s">
        <v>51</v>
      </c>
      <c r="H30" t="s">
        <v>55</v>
      </c>
      <c r="I30" s="3" t="s">
        <v>209</v>
      </c>
    </row>
    <row r="31" spans="1:9" ht="45">
      <c r="A31">
        <v>156</v>
      </c>
      <c r="B31" t="s">
        <v>8</v>
      </c>
      <c r="C31" s="15">
        <v>45649.854166666664</v>
      </c>
      <c r="D31" s="16">
        <v>-6.3778600000000001</v>
      </c>
      <c r="E31" t="s">
        <v>7</v>
      </c>
      <c r="F31" t="s">
        <v>9</v>
      </c>
      <c r="G31" t="s">
        <v>51</v>
      </c>
      <c r="H31" t="s">
        <v>60</v>
      </c>
      <c r="I31" s="3" t="s">
        <v>212</v>
      </c>
    </row>
    <row r="32" spans="1:9" ht="45">
      <c r="A32">
        <v>157</v>
      </c>
      <c r="B32" t="s">
        <v>8</v>
      </c>
      <c r="C32" s="15">
        <v>45652.125</v>
      </c>
      <c r="D32" s="16">
        <v>-5.3155320000000001</v>
      </c>
      <c r="E32" t="s">
        <v>9</v>
      </c>
      <c r="F32" t="s">
        <v>7</v>
      </c>
      <c r="G32" t="s">
        <v>64</v>
      </c>
      <c r="H32" t="s">
        <v>55</v>
      </c>
      <c r="I32" s="3" t="s">
        <v>213</v>
      </c>
    </row>
    <row r="33" spans="1:9" ht="45">
      <c r="A33">
        <v>158</v>
      </c>
      <c r="B33" t="s">
        <v>8</v>
      </c>
      <c r="C33" s="15">
        <v>45652.166666666664</v>
      </c>
      <c r="D33" s="16">
        <v>-5.9151790000000002</v>
      </c>
      <c r="E33" t="s">
        <v>5</v>
      </c>
      <c r="F33" t="s">
        <v>9</v>
      </c>
      <c r="G33" t="s">
        <v>51</v>
      </c>
      <c r="H33" t="s">
        <v>55</v>
      </c>
      <c r="I33" s="3" t="s">
        <v>214</v>
      </c>
    </row>
    <row r="34" spans="1:9" ht="45">
      <c r="A34">
        <v>160</v>
      </c>
      <c r="B34" t="s">
        <v>8</v>
      </c>
      <c r="C34" s="15">
        <v>45652.270833333336</v>
      </c>
      <c r="D34" s="16">
        <v>-6.1658660000000003</v>
      </c>
      <c r="E34" t="s">
        <v>5</v>
      </c>
      <c r="F34" t="s">
        <v>9</v>
      </c>
      <c r="G34" t="s">
        <v>51</v>
      </c>
      <c r="H34" t="s">
        <v>55</v>
      </c>
      <c r="I34" s="3" t="s">
        <v>216</v>
      </c>
    </row>
    <row r="35" spans="1:9" ht="45">
      <c r="A35">
        <v>162</v>
      </c>
      <c r="B35" t="s">
        <v>8</v>
      </c>
      <c r="C35" s="15">
        <v>45652.3125</v>
      </c>
      <c r="D35" s="16">
        <v>-10.179939999999998</v>
      </c>
      <c r="E35" t="s">
        <v>5</v>
      </c>
      <c r="F35" t="s">
        <v>9</v>
      </c>
      <c r="G35" t="s">
        <v>51</v>
      </c>
      <c r="H35" t="s">
        <v>55</v>
      </c>
      <c r="I35" s="3" t="s">
        <v>218</v>
      </c>
    </row>
    <row r="36" spans="1:9" ht="45">
      <c r="A36">
        <v>164</v>
      </c>
      <c r="B36" t="s">
        <v>8</v>
      </c>
      <c r="C36" s="15">
        <v>45653.083333333336</v>
      </c>
      <c r="D36" s="16">
        <v>-7.0076499999999999</v>
      </c>
      <c r="E36" t="s">
        <v>5</v>
      </c>
      <c r="F36" t="s">
        <v>9</v>
      </c>
      <c r="G36" t="s">
        <v>51</v>
      </c>
      <c r="H36" t="s">
        <v>60</v>
      </c>
      <c r="I36" s="3" t="s">
        <v>220</v>
      </c>
    </row>
    <row r="37" spans="1:9" ht="45">
      <c r="A37">
        <v>183</v>
      </c>
      <c r="B37" t="s">
        <v>8</v>
      </c>
      <c r="C37" s="15">
        <v>45657.333333333336</v>
      </c>
      <c r="D37" s="16">
        <v>-7.2122500000000009</v>
      </c>
      <c r="E37" t="s">
        <v>7</v>
      </c>
      <c r="F37" t="s">
        <v>9</v>
      </c>
      <c r="G37" t="s">
        <v>51</v>
      </c>
      <c r="H37" t="s">
        <v>60</v>
      </c>
      <c r="I37" s="3" t="s">
        <v>239</v>
      </c>
    </row>
  </sheetData>
  <conditionalFormatting sqref="F2:F37">
    <cfRule type="expression" dxfId="2" priority="1">
      <formula>F2="remove"</formula>
    </cfRule>
    <cfRule type="expression" dxfId="1" priority="2">
      <formula>F2="keep"</formula>
    </cfRule>
    <cfRule type="expression" dxfId="0" priority="3">
      <formula>F2="verify"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Candidates</vt:lpstr>
      <vt:lpstr>Priority Review</vt:lpstr>
      <vt:lpstr>Plot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Postma, Kevin</cp:lastModifiedBy>
  <dcterms:created xsi:type="dcterms:W3CDTF">2026-07-27T13:48:10Z</dcterms:created>
  <dcterms:modified xsi:type="dcterms:W3CDTF">2026-07-27T13:49:28Z</dcterms:modified>
</cp:coreProperties>
</file>